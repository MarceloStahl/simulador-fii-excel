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'Simulador'!$A$12:$H$132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2" fillId="5" borderId="0" pivotButton="0" quotePrefix="0" xfId="0"/>
    <xf numFmtId="0" fontId="3" fillId="3" borderId="1" pivotButton="0" quotePrefix="0" xfId="0"/>
    <xf numFmtId="164" fontId="0" fillId="4" borderId="1" pivotButton="0" quotePrefix="0" xfId="0"/>
    <xf numFmtId="0" fontId="3" fillId="3" borderId="0" pivotButton="0" quotePrefix="0" xfId="0"/>
    <xf numFmtId="164" fontId="0" fillId="6" borderId="0" pivotButton="0" quotePrefix="0" xfId="0"/>
    <xf numFmtId="1" fontId="0" fillId="4" borderId="1" pivotButton="0" quotePrefix="0" xfId="0"/>
    <xf numFmtId="10" fontId="0" fillId="4" borderId="1" pivotButton="0" quotePrefix="0" xfId="0"/>
    <xf numFmtId="10" fontId="0" fillId="6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 Patrimônio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'Simulador'!$A$13:$A$132</f>
            </numRef>
          </cat>
          <val>
            <numRef>
              <f>'Simulador'!$F$13:$F$132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Dividendos Mensais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'Simulador'!G12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'Simulador'!$A$13:$A$132</f>
            </numRef>
          </cat>
          <val>
            <numRef>
              <f>'Simulador'!$G$13:$G$132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Dividendos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5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>
      <c r="A1" s="1" t="inlineStr">
        <is>
          <t>SIMULADOR DE INVESTIMENTOS EM FUNDOS IMOBILIÁRIOS</t>
        </is>
      </c>
    </row>
    <row r="3">
      <c r="A3" s="2" t="inlineStr">
        <is>
          <t>PARÂMETROS DA SIMULAÇÃO</t>
        </is>
      </c>
      <c r="D3" s="3" t="inlineStr">
        <is>
          <t>RESULTADOS</t>
        </is>
      </c>
    </row>
    <row r="4">
      <c r="A4" s="4" t="inlineStr">
        <is>
          <t>Investimento inicial</t>
        </is>
      </c>
      <c r="B4" s="5" t="n">
        <v>10000</v>
      </c>
      <c r="D4" s="6" t="inlineStr">
        <is>
          <t>Total investido</t>
        </is>
      </c>
      <c r="E4" s="7">
        <f>B4+(B5*B6)</f>
        <v/>
      </c>
    </row>
    <row r="5">
      <c r="A5" s="4" t="inlineStr">
        <is>
          <t>Aporte mensal</t>
        </is>
      </c>
      <c r="B5" s="5" t="n">
        <v>1000</v>
      </c>
      <c r="D5" s="6" t="inlineStr">
        <is>
          <t>Patrimônio acumulado</t>
        </is>
      </c>
      <c r="E5" s="7">
        <f>INDEX($F$13:$F$132,$B$6)</f>
        <v/>
      </c>
    </row>
    <row r="6">
      <c r="A6" s="4" t="inlineStr">
        <is>
          <t>Prazo (meses)</t>
        </is>
      </c>
      <c r="B6" s="8" t="n">
        <v>60</v>
      </c>
      <c r="D6" s="6" t="inlineStr">
        <is>
          <t>Dividendos mensais finais</t>
        </is>
      </c>
      <c r="E6" s="7">
        <f>INDEX($G$13:$G$132,$B$6)</f>
        <v/>
      </c>
    </row>
    <row r="7">
      <c r="A7" s="4" t="inlineStr">
        <is>
          <t>Rentabilidade mensal</t>
        </is>
      </c>
      <c r="B7" s="9" t="n">
        <v>0.008</v>
      </c>
      <c r="D7" s="6" t="inlineStr">
        <is>
          <t>Dividendos acumulados</t>
        </is>
      </c>
      <c r="E7" s="7">
        <f>SUM($G$13:INDEX($G$13:$G$132,$B$6))</f>
        <v/>
      </c>
    </row>
    <row r="8">
      <c r="A8" s="4" t="inlineStr">
        <is>
          <t>Dividend Yield mensal</t>
        </is>
      </c>
      <c r="B8" s="9" t="n">
        <v>0.008999999999999999</v>
      </c>
      <c r="D8" s="6" t="inlineStr">
        <is>
          <t>Rendimento sobre o total investido</t>
        </is>
      </c>
      <c r="E8" s="10">
        <f>IFERROR(D5/D4-1,0)</f>
        <v/>
      </c>
    </row>
    <row r="12">
      <c r="A12" s="11" t="inlineStr">
        <is>
          <t>Mês</t>
        </is>
      </c>
      <c r="B12" s="11" t="inlineStr">
        <is>
          <t>Aporte</t>
        </is>
      </c>
      <c r="C12" s="11" t="inlineStr">
        <is>
          <t>Juros/Rendimento</t>
        </is>
      </c>
      <c r="D12" s="11" t="inlineStr">
        <is>
          <t>Dividendos</t>
        </is>
      </c>
      <c r="E12" s="11" t="inlineStr">
        <is>
          <t>Saldo inicial</t>
        </is>
      </c>
      <c r="F12" s="11" t="inlineStr">
        <is>
          <t>Patrimônio final</t>
        </is>
      </c>
      <c r="G12" s="11" t="inlineStr">
        <is>
          <t>Dividendos do mês</t>
        </is>
      </c>
      <c r="H12" s="11" t="inlineStr">
        <is>
          <t>Dividendos acumulados</t>
        </is>
      </c>
    </row>
    <row r="13">
      <c r="A13" s="12" t="n">
        <v>1</v>
      </c>
      <c r="B13" s="13">
        <f>IF(A13&lt;=$B$6,$B$5,0)</f>
        <v/>
      </c>
      <c r="C13" s="13">
        <f>E13*$B$7</f>
        <v/>
      </c>
      <c r="D13" s="13">
        <f>F13*$B$8</f>
        <v/>
      </c>
      <c r="E13" s="13">
        <f>$B$4</f>
        <v/>
      </c>
      <c r="F13" s="13">
        <f>E13+B13+C13</f>
        <v/>
      </c>
      <c r="G13" s="13">
        <f>D13</f>
        <v/>
      </c>
      <c r="H13" s="13">
        <f>SUM($G$13:G13)</f>
        <v/>
      </c>
    </row>
    <row r="14">
      <c r="A14" s="12" t="n">
        <v>2</v>
      </c>
      <c r="B14" s="13">
        <f>IF(A14&lt;=$B$6,$B$5,0)</f>
        <v/>
      </c>
      <c r="C14" s="13">
        <f>E14*$B$7</f>
        <v/>
      </c>
      <c r="D14" s="13">
        <f>F14*$B$8</f>
        <v/>
      </c>
      <c r="E14" s="13">
        <f>F13</f>
        <v/>
      </c>
      <c r="F14" s="13">
        <f>E14+B14+C14</f>
        <v/>
      </c>
      <c r="G14" s="13">
        <f>D14</f>
        <v/>
      </c>
      <c r="H14" s="13">
        <f>SUM($G$13:G14)</f>
        <v/>
      </c>
    </row>
    <row r="15">
      <c r="A15" s="12" t="n">
        <v>3</v>
      </c>
      <c r="B15" s="13">
        <f>IF(A15&lt;=$B$6,$B$5,0)</f>
        <v/>
      </c>
      <c r="C15" s="13">
        <f>E15*$B$7</f>
        <v/>
      </c>
      <c r="D15" s="13">
        <f>F15*$B$8</f>
        <v/>
      </c>
      <c r="E15" s="13">
        <f>F14</f>
        <v/>
      </c>
      <c r="F15" s="13">
        <f>E15+B15+C15</f>
        <v/>
      </c>
      <c r="G15" s="13">
        <f>D15</f>
        <v/>
      </c>
      <c r="H15" s="13">
        <f>SUM($G$13:G15)</f>
        <v/>
      </c>
    </row>
    <row r="16">
      <c r="A16" s="12" t="n">
        <v>4</v>
      </c>
      <c r="B16" s="13">
        <f>IF(A16&lt;=$B$6,$B$5,0)</f>
        <v/>
      </c>
      <c r="C16" s="13">
        <f>E16*$B$7</f>
        <v/>
      </c>
      <c r="D16" s="13">
        <f>F16*$B$8</f>
        <v/>
      </c>
      <c r="E16" s="13">
        <f>F15</f>
        <v/>
      </c>
      <c r="F16" s="13">
        <f>E16+B16+C16</f>
        <v/>
      </c>
      <c r="G16" s="13">
        <f>D16</f>
        <v/>
      </c>
      <c r="H16" s="13">
        <f>SUM($G$13:G16)</f>
        <v/>
      </c>
    </row>
    <row r="17">
      <c r="A17" s="12" t="n">
        <v>5</v>
      </c>
      <c r="B17" s="13">
        <f>IF(A17&lt;=$B$6,$B$5,0)</f>
        <v/>
      </c>
      <c r="C17" s="13">
        <f>E17*$B$7</f>
        <v/>
      </c>
      <c r="D17" s="13">
        <f>F17*$B$8</f>
        <v/>
      </c>
      <c r="E17" s="13">
        <f>F16</f>
        <v/>
      </c>
      <c r="F17" s="13">
        <f>E17+B17+C17</f>
        <v/>
      </c>
      <c r="G17" s="13">
        <f>D17</f>
        <v/>
      </c>
      <c r="H17" s="13">
        <f>SUM($G$13:G17)</f>
        <v/>
      </c>
    </row>
    <row r="18">
      <c r="A18" s="12" t="n">
        <v>6</v>
      </c>
      <c r="B18" s="13">
        <f>IF(A18&lt;=$B$6,$B$5,0)</f>
        <v/>
      </c>
      <c r="C18" s="13">
        <f>E18*$B$7</f>
        <v/>
      </c>
      <c r="D18" s="13">
        <f>F18*$B$8</f>
        <v/>
      </c>
      <c r="E18" s="13">
        <f>F17</f>
        <v/>
      </c>
      <c r="F18" s="13">
        <f>E18+B18+C18</f>
        <v/>
      </c>
      <c r="G18" s="13">
        <f>D18</f>
        <v/>
      </c>
      <c r="H18" s="13">
        <f>SUM($G$13:G18)</f>
        <v/>
      </c>
    </row>
    <row r="19">
      <c r="A19" s="12" t="n">
        <v>7</v>
      </c>
      <c r="B19" s="13">
        <f>IF(A19&lt;=$B$6,$B$5,0)</f>
        <v/>
      </c>
      <c r="C19" s="13">
        <f>E19*$B$7</f>
        <v/>
      </c>
      <c r="D19" s="13">
        <f>F19*$B$8</f>
        <v/>
      </c>
      <c r="E19" s="13">
        <f>F18</f>
        <v/>
      </c>
      <c r="F19" s="13">
        <f>E19+B19+C19</f>
        <v/>
      </c>
      <c r="G19" s="13">
        <f>D19</f>
        <v/>
      </c>
      <c r="H19" s="13">
        <f>SUM($G$13:G19)</f>
        <v/>
      </c>
    </row>
    <row r="20">
      <c r="A20" s="12" t="n">
        <v>8</v>
      </c>
      <c r="B20" s="13">
        <f>IF(A20&lt;=$B$6,$B$5,0)</f>
        <v/>
      </c>
      <c r="C20" s="13">
        <f>E20*$B$7</f>
        <v/>
      </c>
      <c r="D20" s="13">
        <f>F20*$B$8</f>
        <v/>
      </c>
      <c r="E20" s="13">
        <f>F19</f>
        <v/>
      </c>
      <c r="F20" s="13">
        <f>E20+B20+C20</f>
        <v/>
      </c>
      <c r="G20" s="13">
        <f>D20</f>
        <v/>
      </c>
      <c r="H20" s="13">
        <f>SUM($G$13:G20)</f>
        <v/>
      </c>
    </row>
    <row r="21">
      <c r="A21" s="12" t="n">
        <v>9</v>
      </c>
      <c r="B21" s="13">
        <f>IF(A21&lt;=$B$6,$B$5,0)</f>
        <v/>
      </c>
      <c r="C21" s="13">
        <f>E21*$B$7</f>
        <v/>
      </c>
      <c r="D21" s="13">
        <f>F21*$B$8</f>
        <v/>
      </c>
      <c r="E21" s="13">
        <f>F20</f>
        <v/>
      </c>
      <c r="F21" s="13">
        <f>E21+B21+C21</f>
        <v/>
      </c>
      <c r="G21" s="13">
        <f>D21</f>
        <v/>
      </c>
      <c r="H21" s="13">
        <f>SUM($G$13:G21)</f>
        <v/>
      </c>
    </row>
    <row r="22">
      <c r="A22" s="12" t="n">
        <v>10</v>
      </c>
      <c r="B22" s="13">
        <f>IF(A22&lt;=$B$6,$B$5,0)</f>
        <v/>
      </c>
      <c r="C22" s="13">
        <f>E22*$B$7</f>
        <v/>
      </c>
      <c r="D22" s="13">
        <f>F22*$B$8</f>
        <v/>
      </c>
      <c r="E22" s="13">
        <f>F21</f>
        <v/>
      </c>
      <c r="F22" s="13">
        <f>E22+B22+C22</f>
        <v/>
      </c>
      <c r="G22" s="13">
        <f>D22</f>
        <v/>
      </c>
      <c r="H22" s="13">
        <f>SUM($G$13:G22)</f>
        <v/>
      </c>
    </row>
    <row r="23">
      <c r="A23" s="12" t="n">
        <v>11</v>
      </c>
      <c r="B23" s="13">
        <f>IF(A23&lt;=$B$6,$B$5,0)</f>
        <v/>
      </c>
      <c r="C23" s="13">
        <f>E23*$B$7</f>
        <v/>
      </c>
      <c r="D23" s="13">
        <f>F23*$B$8</f>
        <v/>
      </c>
      <c r="E23" s="13">
        <f>F22</f>
        <v/>
      </c>
      <c r="F23" s="13">
        <f>E23+B23+C23</f>
        <v/>
      </c>
      <c r="G23" s="13">
        <f>D23</f>
        <v/>
      </c>
      <c r="H23" s="13">
        <f>SUM($G$13:G23)</f>
        <v/>
      </c>
    </row>
    <row r="24">
      <c r="A24" s="12" t="n">
        <v>12</v>
      </c>
      <c r="B24" s="13">
        <f>IF(A24&lt;=$B$6,$B$5,0)</f>
        <v/>
      </c>
      <c r="C24" s="13">
        <f>E24*$B$7</f>
        <v/>
      </c>
      <c r="D24" s="13">
        <f>F24*$B$8</f>
        <v/>
      </c>
      <c r="E24" s="13">
        <f>F23</f>
        <v/>
      </c>
      <c r="F24" s="13">
        <f>E24+B24+C24</f>
        <v/>
      </c>
      <c r="G24" s="13">
        <f>D24</f>
        <v/>
      </c>
      <c r="H24" s="13">
        <f>SUM($G$13:G24)</f>
        <v/>
      </c>
    </row>
    <row r="25">
      <c r="A25" s="12" t="n">
        <v>13</v>
      </c>
      <c r="B25" s="13">
        <f>IF(A25&lt;=$B$6,$B$5,0)</f>
        <v/>
      </c>
      <c r="C25" s="13">
        <f>E25*$B$7</f>
        <v/>
      </c>
      <c r="D25" s="13">
        <f>F25*$B$8</f>
        <v/>
      </c>
      <c r="E25" s="13">
        <f>F24</f>
        <v/>
      </c>
      <c r="F25" s="13">
        <f>E25+B25+C25</f>
        <v/>
      </c>
      <c r="G25" s="13">
        <f>D25</f>
        <v/>
      </c>
      <c r="H25" s="13">
        <f>SUM($G$13:G25)</f>
        <v/>
      </c>
    </row>
    <row r="26">
      <c r="A26" s="12" t="n">
        <v>14</v>
      </c>
      <c r="B26" s="13">
        <f>IF(A26&lt;=$B$6,$B$5,0)</f>
        <v/>
      </c>
      <c r="C26" s="13">
        <f>E26*$B$7</f>
        <v/>
      </c>
      <c r="D26" s="13">
        <f>F26*$B$8</f>
        <v/>
      </c>
      <c r="E26" s="13">
        <f>F25</f>
        <v/>
      </c>
      <c r="F26" s="13">
        <f>E26+B26+C26</f>
        <v/>
      </c>
      <c r="G26" s="13">
        <f>D26</f>
        <v/>
      </c>
      <c r="H26" s="13">
        <f>SUM($G$13:G26)</f>
        <v/>
      </c>
    </row>
    <row r="27">
      <c r="A27" s="12" t="n">
        <v>15</v>
      </c>
      <c r="B27" s="13">
        <f>IF(A27&lt;=$B$6,$B$5,0)</f>
        <v/>
      </c>
      <c r="C27" s="13">
        <f>E27*$B$7</f>
        <v/>
      </c>
      <c r="D27" s="13">
        <f>F27*$B$8</f>
        <v/>
      </c>
      <c r="E27" s="13">
        <f>F26</f>
        <v/>
      </c>
      <c r="F27" s="13">
        <f>E27+B27+C27</f>
        <v/>
      </c>
      <c r="G27" s="13">
        <f>D27</f>
        <v/>
      </c>
      <c r="H27" s="13">
        <f>SUM($G$13:G27)</f>
        <v/>
      </c>
    </row>
    <row r="28">
      <c r="A28" s="12" t="n">
        <v>16</v>
      </c>
      <c r="B28" s="13">
        <f>IF(A28&lt;=$B$6,$B$5,0)</f>
        <v/>
      </c>
      <c r="C28" s="13">
        <f>E28*$B$7</f>
        <v/>
      </c>
      <c r="D28" s="13">
        <f>F28*$B$8</f>
        <v/>
      </c>
      <c r="E28" s="13">
        <f>F27</f>
        <v/>
      </c>
      <c r="F28" s="13">
        <f>E28+B28+C28</f>
        <v/>
      </c>
      <c r="G28" s="13">
        <f>D28</f>
        <v/>
      </c>
      <c r="H28" s="13">
        <f>SUM($G$13:G28)</f>
        <v/>
      </c>
    </row>
    <row r="29">
      <c r="A29" s="12" t="n">
        <v>17</v>
      </c>
      <c r="B29" s="13">
        <f>IF(A29&lt;=$B$6,$B$5,0)</f>
        <v/>
      </c>
      <c r="C29" s="13">
        <f>E29*$B$7</f>
        <v/>
      </c>
      <c r="D29" s="13">
        <f>F29*$B$8</f>
        <v/>
      </c>
      <c r="E29" s="13">
        <f>F28</f>
        <v/>
      </c>
      <c r="F29" s="13">
        <f>E29+B29+C29</f>
        <v/>
      </c>
      <c r="G29" s="13">
        <f>D29</f>
        <v/>
      </c>
      <c r="H29" s="13">
        <f>SUM($G$13:G29)</f>
        <v/>
      </c>
    </row>
    <row r="30">
      <c r="A30" s="12" t="n">
        <v>18</v>
      </c>
      <c r="B30" s="13">
        <f>IF(A30&lt;=$B$6,$B$5,0)</f>
        <v/>
      </c>
      <c r="C30" s="13">
        <f>E30*$B$7</f>
        <v/>
      </c>
      <c r="D30" s="13">
        <f>F30*$B$8</f>
        <v/>
      </c>
      <c r="E30" s="13">
        <f>F29</f>
        <v/>
      </c>
      <c r="F30" s="13">
        <f>E30+B30+C30</f>
        <v/>
      </c>
      <c r="G30" s="13">
        <f>D30</f>
        <v/>
      </c>
      <c r="H30" s="13">
        <f>SUM($G$13:G30)</f>
        <v/>
      </c>
    </row>
    <row r="31">
      <c r="A31" s="12" t="n">
        <v>19</v>
      </c>
      <c r="B31" s="13">
        <f>IF(A31&lt;=$B$6,$B$5,0)</f>
        <v/>
      </c>
      <c r="C31" s="13">
        <f>E31*$B$7</f>
        <v/>
      </c>
      <c r="D31" s="13">
        <f>F31*$B$8</f>
        <v/>
      </c>
      <c r="E31" s="13">
        <f>F30</f>
        <v/>
      </c>
      <c r="F31" s="13">
        <f>E31+B31+C31</f>
        <v/>
      </c>
      <c r="G31" s="13">
        <f>D31</f>
        <v/>
      </c>
      <c r="H31" s="13">
        <f>SUM($G$13:G31)</f>
        <v/>
      </c>
    </row>
    <row r="32">
      <c r="A32" s="12" t="n">
        <v>20</v>
      </c>
      <c r="B32" s="13">
        <f>IF(A32&lt;=$B$6,$B$5,0)</f>
        <v/>
      </c>
      <c r="C32" s="13">
        <f>E32*$B$7</f>
        <v/>
      </c>
      <c r="D32" s="13">
        <f>F32*$B$8</f>
        <v/>
      </c>
      <c r="E32" s="13">
        <f>F31</f>
        <v/>
      </c>
      <c r="F32" s="13">
        <f>E32+B32+C32</f>
        <v/>
      </c>
      <c r="G32" s="13">
        <f>D32</f>
        <v/>
      </c>
      <c r="H32" s="13">
        <f>SUM($G$13:G32)</f>
        <v/>
      </c>
    </row>
    <row r="33">
      <c r="A33" s="12" t="n">
        <v>21</v>
      </c>
      <c r="B33" s="13">
        <f>IF(A33&lt;=$B$6,$B$5,0)</f>
        <v/>
      </c>
      <c r="C33" s="13">
        <f>E33*$B$7</f>
        <v/>
      </c>
      <c r="D33" s="13">
        <f>F33*$B$8</f>
        <v/>
      </c>
      <c r="E33" s="13">
        <f>F32</f>
        <v/>
      </c>
      <c r="F33" s="13">
        <f>E33+B33+C33</f>
        <v/>
      </c>
      <c r="G33" s="13">
        <f>D33</f>
        <v/>
      </c>
      <c r="H33" s="13">
        <f>SUM($G$13:G33)</f>
        <v/>
      </c>
    </row>
    <row r="34">
      <c r="A34" s="12" t="n">
        <v>22</v>
      </c>
      <c r="B34" s="13">
        <f>IF(A34&lt;=$B$6,$B$5,0)</f>
        <v/>
      </c>
      <c r="C34" s="13">
        <f>E34*$B$7</f>
        <v/>
      </c>
      <c r="D34" s="13">
        <f>F34*$B$8</f>
        <v/>
      </c>
      <c r="E34" s="13">
        <f>F33</f>
        <v/>
      </c>
      <c r="F34" s="13">
        <f>E34+B34+C34</f>
        <v/>
      </c>
      <c r="G34" s="13">
        <f>D34</f>
        <v/>
      </c>
      <c r="H34" s="13">
        <f>SUM($G$13:G34)</f>
        <v/>
      </c>
    </row>
    <row r="35">
      <c r="A35" s="12" t="n">
        <v>23</v>
      </c>
      <c r="B35" s="13">
        <f>IF(A35&lt;=$B$6,$B$5,0)</f>
        <v/>
      </c>
      <c r="C35" s="13">
        <f>E35*$B$7</f>
        <v/>
      </c>
      <c r="D35" s="13">
        <f>F35*$B$8</f>
        <v/>
      </c>
      <c r="E35" s="13">
        <f>F34</f>
        <v/>
      </c>
      <c r="F35" s="13">
        <f>E35+B35+C35</f>
        <v/>
      </c>
      <c r="G35" s="13">
        <f>D35</f>
        <v/>
      </c>
      <c r="H35" s="13">
        <f>SUM($G$13:G35)</f>
        <v/>
      </c>
    </row>
    <row r="36">
      <c r="A36" s="12" t="n">
        <v>24</v>
      </c>
      <c r="B36" s="13">
        <f>IF(A36&lt;=$B$6,$B$5,0)</f>
        <v/>
      </c>
      <c r="C36" s="13">
        <f>E36*$B$7</f>
        <v/>
      </c>
      <c r="D36" s="13">
        <f>F36*$B$8</f>
        <v/>
      </c>
      <c r="E36" s="13">
        <f>F35</f>
        <v/>
      </c>
      <c r="F36" s="13">
        <f>E36+B36+C36</f>
        <v/>
      </c>
      <c r="G36" s="13">
        <f>D36</f>
        <v/>
      </c>
      <c r="H36" s="13">
        <f>SUM($G$13:G36)</f>
        <v/>
      </c>
    </row>
    <row r="37">
      <c r="A37" s="12" t="n">
        <v>25</v>
      </c>
      <c r="B37" s="13">
        <f>IF(A37&lt;=$B$6,$B$5,0)</f>
        <v/>
      </c>
      <c r="C37" s="13">
        <f>E37*$B$7</f>
        <v/>
      </c>
      <c r="D37" s="13">
        <f>F37*$B$8</f>
        <v/>
      </c>
      <c r="E37" s="13">
        <f>F36</f>
        <v/>
      </c>
      <c r="F37" s="13">
        <f>E37+B37+C37</f>
        <v/>
      </c>
      <c r="G37" s="13">
        <f>D37</f>
        <v/>
      </c>
      <c r="H37" s="13">
        <f>SUM($G$13:G37)</f>
        <v/>
      </c>
    </row>
    <row r="38">
      <c r="A38" s="12" t="n">
        <v>26</v>
      </c>
      <c r="B38" s="13">
        <f>IF(A38&lt;=$B$6,$B$5,0)</f>
        <v/>
      </c>
      <c r="C38" s="13">
        <f>E38*$B$7</f>
        <v/>
      </c>
      <c r="D38" s="13">
        <f>F38*$B$8</f>
        <v/>
      </c>
      <c r="E38" s="13">
        <f>F37</f>
        <v/>
      </c>
      <c r="F38" s="13">
        <f>E38+B38+C38</f>
        <v/>
      </c>
      <c r="G38" s="13">
        <f>D38</f>
        <v/>
      </c>
      <c r="H38" s="13">
        <f>SUM($G$13:G38)</f>
        <v/>
      </c>
    </row>
    <row r="39">
      <c r="A39" s="12" t="n">
        <v>27</v>
      </c>
      <c r="B39" s="13">
        <f>IF(A39&lt;=$B$6,$B$5,0)</f>
        <v/>
      </c>
      <c r="C39" s="13">
        <f>E39*$B$7</f>
        <v/>
      </c>
      <c r="D39" s="13">
        <f>F39*$B$8</f>
        <v/>
      </c>
      <c r="E39" s="13">
        <f>F38</f>
        <v/>
      </c>
      <c r="F39" s="13">
        <f>E39+B39+C39</f>
        <v/>
      </c>
      <c r="G39" s="13">
        <f>D39</f>
        <v/>
      </c>
      <c r="H39" s="13">
        <f>SUM($G$13:G39)</f>
        <v/>
      </c>
    </row>
    <row r="40">
      <c r="A40" s="12" t="n">
        <v>28</v>
      </c>
      <c r="B40" s="13">
        <f>IF(A40&lt;=$B$6,$B$5,0)</f>
        <v/>
      </c>
      <c r="C40" s="13">
        <f>E40*$B$7</f>
        <v/>
      </c>
      <c r="D40" s="13">
        <f>F40*$B$8</f>
        <v/>
      </c>
      <c r="E40" s="13">
        <f>F39</f>
        <v/>
      </c>
      <c r="F40" s="13">
        <f>E40+B40+C40</f>
        <v/>
      </c>
      <c r="G40" s="13">
        <f>D40</f>
        <v/>
      </c>
      <c r="H40" s="13">
        <f>SUM($G$13:G40)</f>
        <v/>
      </c>
    </row>
    <row r="41">
      <c r="A41" s="12" t="n">
        <v>29</v>
      </c>
      <c r="B41" s="13">
        <f>IF(A41&lt;=$B$6,$B$5,0)</f>
        <v/>
      </c>
      <c r="C41" s="13">
        <f>E41*$B$7</f>
        <v/>
      </c>
      <c r="D41" s="13">
        <f>F41*$B$8</f>
        <v/>
      </c>
      <c r="E41" s="13">
        <f>F40</f>
        <v/>
      </c>
      <c r="F41" s="13">
        <f>E41+B41+C41</f>
        <v/>
      </c>
      <c r="G41" s="13">
        <f>D41</f>
        <v/>
      </c>
      <c r="H41" s="13">
        <f>SUM($G$13:G41)</f>
        <v/>
      </c>
    </row>
    <row r="42">
      <c r="A42" s="12" t="n">
        <v>30</v>
      </c>
      <c r="B42" s="13">
        <f>IF(A42&lt;=$B$6,$B$5,0)</f>
        <v/>
      </c>
      <c r="C42" s="13">
        <f>E42*$B$7</f>
        <v/>
      </c>
      <c r="D42" s="13">
        <f>F42*$B$8</f>
        <v/>
      </c>
      <c r="E42" s="13">
        <f>F41</f>
        <v/>
      </c>
      <c r="F42" s="13">
        <f>E42+B42+C42</f>
        <v/>
      </c>
      <c r="G42" s="13">
        <f>D42</f>
        <v/>
      </c>
      <c r="H42" s="13">
        <f>SUM($G$13:G42)</f>
        <v/>
      </c>
    </row>
    <row r="43">
      <c r="A43" s="12" t="n">
        <v>31</v>
      </c>
      <c r="B43" s="13">
        <f>IF(A43&lt;=$B$6,$B$5,0)</f>
        <v/>
      </c>
      <c r="C43" s="13">
        <f>E43*$B$7</f>
        <v/>
      </c>
      <c r="D43" s="13">
        <f>F43*$B$8</f>
        <v/>
      </c>
      <c r="E43" s="13">
        <f>F42</f>
        <v/>
      </c>
      <c r="F43" s="13">
        <f>E43+B43+C43</f>
        <v/>
      </c>
      <c r="G43" s="13">
        <f>D43</f>
        <v/>
      </c>
      <c r="H43" s="13">
        <f>SUM($G$13:G43)</f>
        <v/>
      </c>
    </row>
    <row r="44">
      <c r="A44" s="12" t="n">
        <v>32</v>
      </c>
      <c r="B44" s="13">
        <f>IF(A44&lt;=$B$6,$B$5,0)</f>
        <v/>
      </c>
      <c r="C44" s="13">
        <f>E44*$B$7</f>
        <v/>
      </c>
      <c r="D44" s="13">
        <f>F44*$B$8</f>
        <v/>
      </c>
      <c r="E44" s="13">
        <f>F43</f>
        <v/>
      </c>
      <c r="F44" s="13">
        <f>E44+B44+C44</f>
        <v/>
      </c>
      <c r="G44" s="13">
        <f>D44</f>
        <v/>
      </c>
      <c r="H44" s="13">
        <f>SUM($G$13:G44)</f>
        <v/>
      </c>
    </row>
    <row r="45">
      <c r="A45" s="12" t="n">
        <v>33</v>
      </c>
      <c r="B45" s="13">
        <f>IF(A45&lt;=$B$6,$B$5,0)</f>
        <v/>
      </c>
      <c r="C45" s="13">
        <f>E45*$B$7</f>
        <v/>
      </c>
      <c r="D45" s="13">
        <f>F45*$B$8</f>
        <v/>
      </c>
      <c r="E45" s="13">
        <f>F44</f>
        <v/>
      </c>
      <c r="F45" s="13">
        <f>E45+B45+C45</f>
        <v/>
      </c>
      <c r="G45" s="13">
        <f>D45</f>
        <v/>
      </c>
      <c r="H45" s="13">
        <f>SUM($G$13:G45)</f>
        <v/>
      </c>
    </row>
    <row r="46">
      <c r="A46" s="12" t="n">
        <v>34</v>
      </c>
      <c r="B46" s="13">
        <f>IF(A46&lt;=$B$6,$B$5,0)</f>
        <v/>
      </c>
      <c r="C46" s="13">
        <f>E46*$B$7</f>
        <v/>
      </c>
      <c r="D46" s="13">
        <f>F46*$B$8</f>
        <v/>
      </c>
      <c r="E46" s="13">
        <f>F45</f>
        <v/>
      </c>
      <c r="F46" s="13">
        <f>E46+B46+C46</f>
        <v/>
      </c>
      <c r="G46" s="13">
        <f>D46</f>
        <v/>
      </c>
      <c r="H46" s="13">
        <f>SUM($G$13:G46)</f>
        <v/>
      </c>
    </row>
    <row r="47">
      <c r="A47" s="12" t="n">
        <v>35</v>
      </c>
      <c r="B47" s="13">
        <f>IF(A47&lt;=$B$6,$B$5,0)</f>
        <v/>
      </c>
      <c r="C47" s="13">
        <f>E47*$B$7</f>
        <v/>
      </c>
      <c r="D47" s="13">
        <f>F47*$B$8</f>
        <v/>
      </c>
      <c r="E47" s="13">
        <f>F46</f>
        <v/>
      </c>
      <c r="F47" s="13">
        <f>E47+B47+C47</f>
        <v/>
      </c>
      <c r="G47" s="13">
        <f>D47</f>
        <v/>
      </c>
      <c r="H47" s="13">
        <f>SUM($G$13:G47)</f>
        <v/>
      </c>
    </row>
    <row r="48">
      <c r="A48" s="12" t="n">
        <v>36</v>
      </c>
      <c r="B48" s="13">
        <f>IF(A48&lt;=$B$6,$B$5,0)</f>
        <v/>
      </c>
      <c r="C48" s="13">
        <f>E48*$B$7</f>
        <v/>
      </c>
      <c r="D48" s="13">
        <f>F48*$B$8</f>
        <v/>
      </c>
      <c r="E48" s="13">
        <f>F47</f>
        <v/>
      </c>
      <c r="F48" s="13">
        <f>E48+B48+C48</f>
        <v/>
      </c>
      <c r="G48" s="13">
        <f>D48</f>
        <v/>
      </c>
      <c r="H48" s="13">
        <f>SUM($G$13:G48)</f>
        <v/>
      </c>
    </row>
    <row r="49">
      <c r="A49" s="12" t="n">
        <v>37</v>
      </c>
      <c r="B49" s="13">
        <f>IF(A49&lt;=$B$6,$B$5,0)</f>
        <v/>
      </c>
      <c r="C49" s="13">
        <f>E49*$B$7</f>
        <v/>
      </c>
      <c r="D49" s="13">
        <f>F49*$B$8</f>
        <v/>
      </c>
      <c r="E49" s="13">
        <f>F48</f>
        <v/>
      </c>
      <c r="F49" s="13">
        <f>E49+B49+C49</f>
        <v/>
      </c>
      <c r="G49" s="13">
        <f>D49</f>
        <v/>
      </c>
      <c r="H49" s="13">
        <f>SUM($G$13:G49)</f>
        <v/>
      </c>
    </row>
    <row r="50">
      <c r="A50" s="12" t="n">
        <v>38</v>
      </c>
      <c r="B50" s="13">
        <f>IF(A50&lt;=$B$6,$B$5,0)</f>
        <v/>
      </c>
      <c r="C50" s="13">
        <f>E50*$B$7</f>
        <v/>
      </c>
      <c r="D50" s="13">
        <f>F50*$B$8</f>
        <v/>
      </c>
      <c r="E50" s="13">
        <f>F49</f>
        <v/>
      </c>
      <c r="F50" s="13">
        <f>E50+B50+C50</f>
        <v/>
      </c>
      <c r="G50" s="13">
        <f>D50</f>
        <v/>
      </c>
      <c r="H50" s="13">
        <f>SUM($G$13:G50)</f>
        <v/>
      </c>
    </row>
    <row r="51">
      <c r="A51" s="12" t="n">
        <v>39</v>
      </c>
      <c r="B51" s="13">
        <f>IF(A51&lt;=$B$6,$B$5,0)</f>
        <v/>
      </c>
      <c r="C51" s="13">
        <f>E51*$B$7</f>
        <v/>
      </c>
      <c r="D51" s="13">
        <f>F51*$B$8</f>
        <v/>
      </c>
      <c r="E51" s="13">
        <f>F50</f>
        <v/>
      </c>
      <c r="F51" s="13">
        <f>E51+B51+C51</f>
        <v/>
      </c>
      <c r="G51" s="13">
        <f>D51</f>
        <v/>
      </c>
      <c r="H51" s="13">
        <f>SUM($G$13:G51)</f>
        <v/>
      </c>
    </row>
    <row r="52">
      <c r="A52" s="12" t="n">
        <v>40</v>
      </c>
      <c r="B52" s="13">
        <f>IF(A52&lt;=$B$6,$B$5,0)</f>
        <v/>
      </c>
      <c r="C52" s="13">
        <f>E52*$B$7</f>
        <v/>
      </c>
      <c r="D52" s="13">
        <f>F52*$B$8</f>
        <v/>
      </c>
      <c r="E52" s="13">
        <f>F51</f>
        <v/>
      </c>
      <c r="F52" s="13">
        <f>E52+B52+C52</f>
        <v/>
      </c>
      <c r="G52" s="13">
        <f>D52</f>
        <v/>
      </c>
      <c r="H52" s="13">
        <f>SUM($G$13:G52)</f>
        <v/>
      </c>
    </row>
    <row r="53">
      <c r="A53" s="12" t="n">
        <v>41</v>
      </c>
      <c r="B53" s="13">
        <f>IF(A53&lt;=$B$6,$B$5,0)</f>
        <v/>
      </c>
      <c r="C53" s="13">
        <f>E53*$B$7</f>
        <v/>
      </c>
      <c r="D53" s="13">
        <f>F53*$B$8</f>
        <v/>
      </c>
      <c r="E53" s="13">
        <f>F52</f>
        <v/>
      </c>
      <c r="F53" s="13">
        <f>E53+B53+C53</f>
        <v/>
      </c>
      <c r="G53" s="13">
        <f>D53</f>
        <v/>
      </c>
      <c r="H53" s="13">
        <f>SUM($G$13:G53)</f>
        <v/>
      </c>
    </row>
    <row r="54">
      <c r="A54" s="12" t="n">
        <v>42</v>
      </c>
      <c r="B54" s="13">
        <f>IF(A54&lt;=$B$6,$B$5,0)</f>
        <v/>
      </c>
      <c r="C54" s="13">
        <f>E54*$B$7</f>
        <v/>
      </c>
      <c r="D54" s="13">
        <f>F54*$B$8</f>
        <v/>
      </c>
      <c r="E54" s="13">
        <f>F53</f>
        <v/>
      </c>
      <c r="F54" s="13">
        <f>E54+B54+C54</f>
        <v/>
      </c>
      <c r="G54" s="13">
        <f>D54</f>
        <v/>
      </c>
      <c r="H54" s="13">
        <f>SUM($G$13:G54)</f>
        <v/>
      </c>
    </row>
    <row r="55">
      <c r="A55" s="12" t="n">
        <v>43</v>
      </c>
      <c r="B55" s="13">
        <f>IF(A55&lt;=$B$6,$B$5,0)</f>
        <v/>
      </c>
      <c r="C55" s="13">
        <f>E55*$B$7</f>
        <v/>
      </c>
      <c r="D55" s="13">
        <f>F55*$B$8</f>
        <v/>
      </c>
      <c r="E55" s="13">
        <f>F54</f>
        <v/>
      </c>
      <c r="F55" s="13">
        <f>E55+B55+C55</f>
        <v/>
      </c>
      <c r="G55" s="13">
        <f>D55</f>
        <v/>
      </c>
      <c r="H55" s="13">
        <f>SUM($G$13:G55)</f>
        <v/>
      </c>
    </row>
    <row r="56">
      <c r="A56" s="12" t="n">
        <v>44</v>
      </c>
      <c r="B56" s="13">
        <f>IF(A56&lt;=$B$6,$B$5,0)</f>
        <v/>
      </c>
      <c r="C56" s="13">
        <f>E56*$B$7</f>
        <v/>
      </c>
      <c r="D56" s="13">
        <f>F56*$B$8</f>
        <v/>
      </c>
      <c r="E56" s="13">
        <f>F55</f>
        <v/>
      </c>
      <c r="F56" s="13">
        <f>E56+B56+C56</f>
        <v/>
      </c>
      <c r="G56" s="13">
        <f>D56</f>
        <v/>
      </c>
      <c r="H56" s="13">
        <f>SUM($G$13:G56)</f>
        <v/>
      </c>
    </row>
    <row r="57">
      <c r="A57" s="12" t="n">
        <v>45</v>
      </c>
      <c r="B57" s="13">
        <f>IF(A57&lt;=$B$6,$B$5,0)</f>
        <v/>
      </c>
      <c r="C57" s="13">
        <f>E57*$B$7</f>
        <v/>
      </c>
      <c r="D57" s="13">
        <f>F57*$B$8</f>
        <v/>
      </c>
      <c r="E57" s="13">
        <f>F56</f>
        <v/>
      </c>
      <c r="F57" s="13">
        <f>E57+B57+C57</f>
        <v/>
      </c>
      <c r="G57" s="13">
        <f>D57</f>
        <v/>
      </c>
      <c r="H57" s="13">
        <f>SUM($G$13:G57)</f>
        <v/>
      </c>
    </row>
    <row r="58">
      <c r="A58" s="12" t="n">
        <v>46</v>
      </c>
      <c r="B58" s="13">
        <f>IF(A58&lt;=$B$6,$B$5,0)</f>
        <v/>
      </c>
      <c r="C58" s="13">
        <f>E58*$B$7</f>
        <v/>
      </c>
      <c r="D58" s="13">
        <f>F58*$B$8</f>
        <v/>
      </c>
      <c r="E58" s="13">
        <f>F57</f>
        <v/>
      </c>
      <c r="F58" s="13">
        <f>E58+B58+C58</f>
        <v/>
      </c>
      <c r="G58" s="13">
        <f>D58</f>
        <v/>
      </c>
      <c r="H58" s="13">
        <f>SUM($G$13:G58)</f>
        <v/>
      </c>
    </row>
    <row r="59">
      <c r="A59" s="12" t="n">
        <v>47</v>
      </c>
      <c r="B59" s="13">
        <f>IF(A59&lt;=$B$6,$B$5,0)</f>
        <v/>
      </c>
      <c r="C59" s="13">
        <f>E59*$B$7</f>
        <v/>
      </c>
      <c r="D59" s="13">
        <f>F59*$B$8</f>
        <v/>
      </c>
      <c r="E59" s="13">
        <f>F58</f>
        <v/>
      </c>
      <c r="F59" s="13">
        <f>E59+B59+C59</f>
        <v/>
      </c>
      <c r="G59" s="13">
        <f>D59</f>
        <v/>
      </c>
      <c r="H59" s="13">
        <f>SUM($G$13:G59)</f>
        <v/>
      </c>
    </row>
    <row r="60">
      <c r="A60" s="12" t="n">
        <v>48</v>
      </c>
      <c r="B60" s="13">
        <f>IF(A60&lt;=$B$6,$B$5,0)</f>
        <v/>
      </c>
      <c r="C60" s="13">
        <f>E60*$B$7</f>
        <v/>
      </c>
      <c r="D60" s="13">
        <f>F60*$B$8</f>
        <v/>
      </c>
      <c r="E60" s="13">
        <f>F59</f>
        <v/>
      </c>
      <c r="F60" s="13">
        <f>E60+B60+C60</f>
        <v/>
      </c>
      <c r="G60" s="13">
        <f>D60</f>
        <v/>
      </c>
      <c r="H60" s="13">
        <f>SUM($G$13:G60)</f>
        <v/>
      </c>
    </row>
    <row r="61">
      <c r="A61" s="12" t="n">
        <v>49</v>
      </c>
      <c r="B61" s="13">
        <f>IF(A61&lt;=$B$6,$B$5,0)</f>
        <v/>
      </c>
      <c r="C61" s="13">
        <f>E61*$B$7</f>
        <v/>
      </c>
      <c r="D61" s="13">
        <f>F61*$B$8</f>
        <v/>
      </c>
      <c r="E61" s="13">
        <f>F60</f>
        <v/>
      </c>
      <c r="F61" s="13">
        <f>E61+B61+C61</f>
        <v/>
      </c>
      <c r="G61" s="13">
        <f>D61</f>
        <v/>
      </c>
      <c r="H61" s="13">
        <f>SUM($G$13:G61)</f>
        <v/>
      </c>
    </row>
    <row r="62">
      <c r="A62" s="12" t="n">
        <v>50</v>
      </c>
      <c r="B62" s="13">
        <f>IF(A62&lt;=$B$6,$B$5,0)</f>
        <v/>
      </c>
      <c r="C62" s="13">
        <f>E62*$B$7</f>
        <v/>
      </c>
      <c r="D62" s="13">
        <f>F62*$B$8</f>
        <v/>
      </c>
      <c r="E62" s="13">
        <f>F61</f>
        <v/>
      </c>
      <c r="F62" s="13">
        <f>E62+B62+C62</f>
        <v/>
      </c>
      <c r="G62" s="13">
        <f>D62</f>
        <v/>
      </c>
      <c r="H62" s="13">
        <f>SUM($G$13:G62)</f>
        <v/>
      </c>
    </row>
    <row r="63">
      <c r="A63" s="12" t="n">
        <v>51</v>
      </c>
      <c r="B63" s="13">
        <f>IF(A63&lt;=$B$6,$B$5,0)</f>
        <v/>
      </c>
      <c r="C63" s="13">
        <f>E63*$B$7</f>
        <v/>
      </c>
      <c r="D63" s="13">
        <f>F63*$B$8</f>
        <v/>
      </c>
      <c r="E63" s="13">
        <f>F62</f>
        <v/>
      </c>
      <c r="F63" s="13">
        <f>E63+B63+C63</f>
        <v/>
      </c>
      <c r="G63" s="13">
        <f>D63</f>
        <v/>
      </c>
      <c r="H63" s="13">
        <f>SUM($G$13:G63)</f>
        <v/>
      </c>
    </row>
    <row r="64">
      <c r="A64" s="12" t="n">
        <v>52</v>
      </c>
      <c r="B64" s="13">
        <f>IF(A64&lt;=$B$6,$B$5,0)</f>
        <v/>
      </c>
      <c r="C64" s="13">
        <f>E64*$B$7</f>
        <v/>
      </c>
      <c r="D64" s="13">
        <f>F64*$B$8</f>
        <v/>
      </c>
      <c r="E64" s="13">
        <f>F63</f>
        <v/>
      </c>
      <c r="F64" s="13">
        <f>E64+B64+C64</f>
        <v/>
      </c>
      <c r="G64" s="13">
        <f>D64</f>
        <v/>
      </c>
      <c r="H64" s="13">
        <f>SUM($G$13:G64)</f>
        <v/>
      </c>
    </row>
    <row r="65">
      <c r="A65" s="12" t="n">
        <v>53</v>
      </c>
      <c r="B65" s="13">
        <f>IF(A65&lt;=$B$6,$B$5,0)</f>
        <v/>
      </c>
      <c r="C65" s="13">
        <f>E65*$B$7</f>
        <v/>
      </c>
      <c r="D65" s="13">
        <f>F65*$B$8</f>
        <v/>
      </c>
      <c r="E65" s="13">
        <f>F64</f>
        <v/>
      </c>
      <c r="F65" s="13">
        <f>E65+B65+C65</f>
        <v/>
      </c>
      <c r="G65" s="13">
        <f>D65</f>
        <v/>
      </c>
      <c r="H65" s="13">
        <f>SUM($G$13:G65)</f>
        <v/>
      </c>
    </row>
    <row r="66">
      <c r="A66" s="12" t="n">
        <v>54</v>
      </c>
      <c r="B66" s="13">
        <f>IF(A66&lt;=$B$6,$B$5,0)</f>
        <v/>
      </c>
      <c r="C66" s="13">
        <f>E66*$B$7</f>
        <v/>
      </c>
      <c r="D66" s="13">
        <f>F66*$B$8</f>
        <v/>
      </c>
      <c r="E66" s="13">
        <f>F65</f>
        <v/>
      </c>
      <c r="F66" s="13">
        <f>E66+B66+C66</f>
        <v/>
      </c>
      <c r="G66" s="13">
        <f>D66</f>
        <v/>
      </c>
      <c r="H66" s="13">
        <f>SUM($G$13:G66)</f>
        <v/>
      </c>
    </row>
    <row r="67">
      <c r="A67" s="12" t="n">
        <v>55</v>
      </c>
      <c r="B67" s="13">
        <f>IF(A67&lt;=$B$6,$B$5,0)</f>
        <v/>
      </c>
      <c r="C67" s="13">
        <f>E67*$B$7</f>
        <v/>
      </c>
      <c r="D67" s="13">
        <f>F67*$B$8</f>
        <v/>
      </c>
      <c r="E67" s="13">
        <f>F66</f>
        <v/>
      </c>
      <c r="F67" s="13">
        <f>E67+B67+C67</f>
        <v/>
      </c>
      <c r="G67" s="13">
        <f>D67</f>
        <v/>
      </c>
      <c r="H67" s="13">
        <f>SUM($G$13:G67)</f>
        <v/>
      </c>
    </row>
    <row r="68">
      <c r="A68" s="12" t="n">
        <v>56</v>
      </c>
      <c r="B68" s="13">
        <f>IF(A68&lt;=$B$6,$B$5,0)</f>
        <v/>
      </c>
      <c r="C68" s="13">
        <f>E68*$B$7</f>
        <v/>
      </c>
      <c r="D68" s="13">
        <f>F68*$B$8</f>
        <v/>
      </c>
      <c r="E68" s="13">
        <f>F67</f>
        <v/>
      </c>
      <c r="F68" s="13">
        <f>E68+B68+C68</f>
        <v/>
      </c>
      <c r="G68" s="13">
        <f>D68</f>
        <v/>
      </c>
      <c r="H68" s="13">
        <f>SUM($G$13:G68)</f>
        <v/>
      </c>
    </row>
    <row r="69">
      <c r="A69" s="12" t="n">
        <v>57</v>
      </c>
      <c r="B69" s="13">
        <f>IF(A69&lt;=$B$6,$B$5,0)</f>
        <v/>
      </c>
      <c r="C69" s="13">
        <f>E69*$B$7</f>
        <v/>
      </c>
      <c r="D69" s="13">
        <f>F69*$B$8</f>
        <v/>
      </c>
      <c r="E69" s="13">
        <f>F68</f>
        <v/>
      </c>
      <c r="F69" s="13">
        <f>E69+B69+C69</f>
        <v/>
      </c>
      <c r="G69" s="13">
        <f>D69</f>
        <v/>
      </c>
      <c r="H69" s="13">
        <f>SUM($G$13:G69)</f>
        <v/>
      </c>
    </row>
    <row r="70">
      <c r="A70" s="12" t="n">
        <v>58</v>
      </c>
      <c r="B70" s="13">
        <f>IF(A70&lt;=$B$6,$B$5,0)</f>
        <v/>
      </c>
      <c r="C70" s="13">
        <f>E70*$B$7</f>
        <v/>
      </c>
      <c r="D70" s="13">
        <f>F70*$B$8</f>
        <v/>
      </c>
      <c r="E70" s="13">
        <f>F69</f>
        <v/>
      </c>
      <c r="F70" s="13">
        <f>E70+B70+C70</f>
        <v/>
      </c>
      <c r="G70" s="13">
        <f>D70</f>
        <v/>
      </c>
      <c r="H70" s="13">
        <f>SUM($G$13:G70)</f>
        <v/>
      </c>
    </row>
    <row r="71">
      <c r="A71" s="12" t="n">
        <v>59</v>
      </c>
      <c r="B71" s="13">
        <f>IF(A71&lt;=$B$6,$B$5,0)</f>
        <v/>
      </c>
      <c r="C71" s="13">
        <f>E71*$B$7</f>
        <v/>
      </c>
      <c r="D71" s="13">
        <f>F71*$B$8</f>
        <v/>
      </c>
      <c r="E71" s="13">
        <f>F70</f>
        <v/>
      </c>
      <c r="F71" s="13">
        <f>E71+B71+C71</f>
        <v/>
      </c>
      <c r="G71" s="13">
        <f>D71</f>
        <v/>
      </c>
      <c r="H71" s="13">
        <f>SUM($G$13:G71)</f>
        <v/>
      </c>
    </row>
    <row r="72">
      <c r="A72" s="12" t="n">
        <v>60</v>
      </c>
      <c r="B72" s="13">
        <f>IF(A72&lt;=$B$6,$B$5,0)</f>
        <v/>
      </c>
      <c r="C72" s="13">
        <f>E72*$B$7</f>
        <v/>
      </c>
      <c r="D72" s="13">
        <f>F72*$B$8</f>
        <v/>
      </c>
      <c r="E72" s="13">
        <f>F71</f>
        <v/>
      </c>
      <c r="F72" s="13">
        <f>E72+B72+C72</f>
        <v/>
      </c>
      <c r="G72" s="13">
        <f>D72</f>
        <v/>
      </c>
      <c r="H72" s="13">
        <f>SUM($G$13:G72)</f>
        <v/>
      </c>
    </row>
    <row r="73">
      <c r="A73" s="12" t="n">
        <v>61</v>
      </c>
      <c r="B73" s="13">
        <f>IF(A73&lt;=$B$6,$B$5,0)</f>
        <v/>
      </c>
      <c r="C73" s="13">
        <f>E73*$B$7</f>
        <v/>
      </c>
      <c r="D73" s="13">
        <f>F73*$B$8</f>
        <v/>
      </c>
      <c r="E73" s="13">
        <f>F72</f>
        <v/>
      </c>
      <c r="F73" s="13">
        <f>E73+B73+C73</f>
        <v/>
      </c>
      <c r="G73" s="13">
        <f>D73</f>
        <v/>
      </c>
      <c r="H73" s="13">
        <f>SUM($G$13:G73)</f>
        <v/>
      </c>
    </row>
    <row r="74">
      <c r="A74" s="12" t="n">
        <v>62</v>
      </c>
      <c r="B74" s="13">
        <f>IF(A74&lt;=$B$6,$B$5,0)</f>
        <v/>
      </c>
      <c r="C74" s="13">
        <f>E74*$B$7</f>
        <v/>
      </c>
      <c r="D74" s="13">
        <f>F74*$B$8</f>
        <v/>
      </c>
      <c r="E74" s="13">
        <f>F73</f>
        <v/>
      </c>
      <c r="F74" s="13">
        <f>E74+B74+C74</f>
        <v/>
      </c>
      <c r="G74" s="13">
        <f>D74</f>
        <v/>
      </c>
      <c r="H74" s="13">
        <f>SUM($G$13:G74)</f>
        <v/>
      </c>
    </row>
    <row r="75">
      <c r="A75" s="12" t="n">
        <v>63</v>
      </c>
      <c r="B75" s="13">
        <f>IF(A75&lt;=$B$6,$B$5,0)</f>
        <v/>
      </c>
      <c r="C75" s="13">
        <f>E75*$B$7</f>
        <v/>
      </c>
      <c r="D75" s="13">
        <f>F75*$B$8</f>
        <v/>
      </c>
      <c r="E75" s="13">
        <f>F74</f>
        <v/>
      </c>
      <c r="F75" s="13">
        <f>E75+B75+C75</f>
        <v/>
      </c>
      <c r="G75" s="13">
        <f>D75</f>
        <v/>
      </c>
      <c r="H75" s="13">
        <f>SUM($G$13:G75)</f>
        <v/>
      </c>
    </row>
    <row r="76">
      <c r="A76" s="12" t="n">
        <v>64</v>
      </c>
      <c r="B76" s="13">
        <f>IF(A76&lt;=$B$6,$B$5,0)</f>
        <v/>
      </c>
      <c r="C76" s="13">
        <f>E76*$B$7</f>
        <v/>
      </c>
      <c r="D76" s="13">
        <f>F76*$B$8</f>
        <v/>
      </c>
      <c r="E76" s="13">
        <f>F75</f>
        <v/>
      </c>
      <c r="F76" s="13">
        <f>E76+B76+C76</f>
        <v/>
      </c>
      <c r="G76" s="13">
        <f>D76</f>
        <v/>
      </c>
      <c r="H76" s="13">
        <f>SUM($G$13:G76)</f>
        <v/>
      </c>
    </row>
    <row r="77">
      <c r="A77" s="12" t="n">
        <v>65</v>
      </c>
      <c r="B77" s="13">
        <f>IF(A77&lt;=$B$6,$B$5,0)</f>
        <v/>
      </c>
      <c r="C77" s="13">
        <f>E77*$B$7</f>
        <v/>
      </c>
      <c r="D77" s="13">
        <f>F77*$B$8</f>
        <v/>
      </c>
      <c r="E77" s="13">
        <f>F76</f>
        <v/>
      </c>
      <c r="F77" s="13">
        <f>E77+B77+C77</f>
        <v/>
      </c>
      <c r="G77" s="13">
        <f>D77</f>
        <v/>
      </c>
      <c r="H77" s="13">
        <f>SUM($G$13:G77)</f>
        <v/>
      </c>
    </row>
    <row r="78">
      <c r="A78" s="12" t="n">
        <v>66</v>
      </c>
      <c r="B78" s="13">
        <f>IF(A78&lt;=$B$6,$B$5,0)</f>
        <v/>
      </c>
      <c r="C78" s="13">
        <f>E78*$B$7</f>
        <v/>
      </c>
      <c r="D78" s="13">
        <f>F78*$B$8</f>
        <v/>
      </c>
      <c r="E78" s="13">
        <f>F77</f>
        <v/>
      </c>
      <c r="F78" s="13">
        <f>E78+B78+C78</f>
        <v/>
      </c>
      <c r="G78" s="13">
        <f>D78</f>
        <v/>
      </c>
      <c r="H78" s="13">
        <f>SUM($G$13:G78)</f>
        <v/>
      </c>
    </row>
    <row r="79">
      <c r="A79" s="12" t="n">
        <v>67</v>
      </c>
      <c r="B79" s="13">
        <f>IF(A79&lt;=$B$6,$B$5,0)</f>
        <v/>
      </c>
      <c r="C79" s="13">
        <f>E79*$B$7</f>
        <v/>
      </c>
      <c r="D79" s="13">
        <f>F79*$B$8</f>
        <v/>
      </c>
      <c r="E79" s="13">
        <f>F78</f>
        <v/>
      </c>
      <c r="F79" s="13">
        <f>E79+B79+C79</f>
        <v/>
      </c>
      <c r="G79" s="13">
        <f>D79</f>
        <v/>
      </c>
      <c r="H79" s="13">
        <f>SUM($G$13:G79)</f>
        <v/>
      </c>
    </row>
    <row r="80">
      <c r="A80" s="12" t="n">
        <v>68</v>
      </c>
      <c r="B80" s="13">
        <f>IF(A80&lt;=$B$6,$B$5,0)</f>
        <v/>
      </c>
      <c r="C80" s="13">
        <f>E80*$B$7</f>
        <v/>
      </c>
      <c r="D80" s="13">
        <f>F80*$B$8</f>
        <v/>
      </c>
      <c r="E80" s="13">
        <f>F79</f>
        <v/>
      </c>
      <c r="F80" s="13">
        <f>E80+B80+C80</f>
        <v/>
      </c>
      <c r="G80" s="13">
        <f>D80</f>
        <v/>
      </c>
      <c r="H80" s="13">
        <f>SUM($G$13:G80)</f>
        <v/>
      </c>
    </row>
    <row r="81">
      <c r="A81" s="12" t="n">
        <v>69</v>
      </c>
      <c r="B81" s="13">
        <f>IF(A81&lt;=$B$6,$B$5,0)</f>
        <v/>
      </c>
      <c r="C81" s="13">
        <f>E81*$B$7</f>
        <v/>
      </c>
      <c r="D81" s="13">
        <f>F81*$B$8</f>
        <v/>
      </c>
      <c r="E81" s="13">
        <f>F80</f>
        <v/>
      </c>
      <c r="F81" s="13">
        <f>E81+B81+C81</f>
        <v/>
      </c>
      <c r="G81" s="13">
        <f>D81</f>
        <v/>
      </c>
      <c r="H81" s="13">
        <f>SUM($G$13:G81)</f>
        <v/>
      </c>
    </row>
    <row r="82">
      <c r="A82" s="12" t="n">
        <v>70</v>
      </c>
      <c r="B82" s="13">
        <f>IF(A82&lt;=$B$6,$B$5,0)</f>
        <v/>
      </c>
      <c r="C82" s="13">
        <f>E82*$B$7</f>
        <v/>
      </c>
      <c r="D82" s="13">
        <f>F82*$B$8</f>
        <v/>
      </c>
      <c r="E82" s="13">
        <f>F81</f>
        <v/>
      </c>
      <c r="F82" s="13">
        <f>E82+B82+C82</f>
        <v/>
      </c>
      <c r="G82" s="13">
        <f>D82</f>
        <v/>
      </c>
      <c r="H82" s="13">
        <f>SUM($G$13:G82)</f>
        <v/>
      </c>
    </row>
    <row r="83">
      <c r="A83" s="12" t="n">
        <v>71</v>
      </c>
      <c r="B83" s="13">
        <f>IF(A83&lt;=$B$6,$B$5,0)</f>
        <v/>
      </c>
      <c r="C83" s="13">
        <f>E83*$B$7</f>
        <v/>
      </c>
      <c r="D83" s="13">
        <f>F83*$B$8</f>
        <v/>
      </c>
      <c r="E83" s="13">
        <f>F82</f>
        <v/>
      </c>
      <c r="F83" s="13">
        <f>E83+B83+C83</f>
        <v/>
      </c>
      <c r="G83" s="13">
        <f>D83</f>
        <v/>
      </c>
      <c r="H83" s="13">
        <f>SUM($G$13:G83)</f>
        <v/>
      </c>
    </row>
    <row r="84">
      <c r="A84" s="12" t="n">
        <v>72</v>
      </c>
      <c r="B84" s="13">
        <f>IF(A84&lt;=$B$6,$B$5,0)</f>
        <v/>
      </c>
      <c r="C84" s="13">
        <f>E84*$B$7</f>
        <v/>
      </c>
      <c r="D84" s="13">
        <f>F84*$B$8</f>
        <v/>
      </c>
      <c r="E84" s="13">
        <f>F83</f>
        <v/>
      </c>
      <c r="F84" s="13">
        <f>E84+B84+C84</f>
        <v/>
      </c>
      <c r="G84" s="13">
        <f>D84</f>
        <v/>
      </c>
      <c r="H84" s="13">
        <f>SUM($G$13:G84)</f>
        <v/>
      </c>
    </row>
    <row r="85">
      <c r="A85" s="12" t="n">
        <v>73</v>
      </c>
      <c r="B85" s="13">
        <f>IF(A85&lt;=$B$6,$B$5,0)</f>
        <v/>
      </c>
      <c r="C85" s="13">
        <f>E85*$B$7</f>
        <v/>
      </c>
      <c r="D85" s="13">
        <f>F85*$B$8</f>
        <v/>
      </c>
      <c r="E85" s="13">
        <f>F84</f>
        <v/>
      </c>
      <c r="F85" s="13">
        <f>E85+B85+C85</f>
        <v/>
      </c>
      <c r="G85" s="13">
        <f>D85</f>
        <v/>
      </c>
      <c r="H85" s="13">
        <f>SUM($G$13:G85)</f>
        <v/>
      </c>
    </row>
    <row r="86">
      <c r="A86" s="12" t="n">
        <v>74</v>
      </c>
      <c r="B86" s="13">
        <f>IF(A86&lt;=$B$6,$B$5,0)</f>
        <v/>
      </c>
      <c r="C86" s="13">
        <f>E86*$B$7</f>
        <v/>
      </c>
      <c r="D86" s="13">
        <f>F86*$B$8</f>
        <v/>
      </c>
      <c r="E86" s="13">
        <f>F85</f>
        <v/>
      </c>
      <c r="F86" s="13">
        <f>E86+B86+C86</f>
        <v/>
      </c>
      <c r="G86" s="13">
        <f>D86</f>
        <v/>
      </c>
      <c r="H86" s="13">
        <f>SUM($G$13:G86)</f>
        <v/>
      </c>
    </row>
    <row r="87">
      <c r="A87" s="12" t="n">
        <v>75</v>
      </c>
      <c r="B87" s="13">
        <f>IF(A87&lt;=$B$6,$B$5,0)</f>
        <v/>
      </c>
      <c r="C87" s="13">
        <f>E87*$B$7</f>
        <v/>
      </c>
      <c r="D87" s="13">
        <f>F87*$B$8</f>
        <v/>
      </c>
      <c r="E87" s="13">
        <f>F86</f>
        <v/>
      </c>
      <c r="F87" s="13">
        <f>E87+B87+C87</f>
        <v/>
      </c>
      <c r="G87" s="13">
        <f>D87</f>
        <v/>
      </c>
      <c r="H87" s="13">
        <f>SUM($G$13:G87)</f>
        <v/>
      </c>
    </row>
    <row r="88">
      <c r="A88" s="12" t="n">
        <v>76</v>
      </c>
      <c r="B88" s="13">
        <f>IF(A88&lt;=$B$6,$B$5,0)</f>
        <v/>
      </c>
      <c r="C88" s="13">
        <f>E88*$B$7</f>
        <v/>
      </c>
      <c r="D88" s="13">
        <f>F88*$B$8</f>
        <v/>
      </c>
      <c r="E88" s="13">
        <f>F87</f>
        <v/>
      </c>
      <c r="F88" s="13">
        <f>E88+B88+C88</f>
        <v/>
      </c>
      <c r="G88" s="13">
        <f>D88</f>
        <v/>
      </c>
      <c r="H88" s="13">
        <f>SUM($G$13:G88)</f>
        <v/>
      </c>
    </row>
    <row r="89">
      <c r="A89" s="12" t="n">
        <v>77</v>
      </c>
      <c r="B89" s="13">
        <f>IF(A89&lt;=$B$6,$B$5,0)</f>
        <v/>
      </c>
      <c r="C89" s="13">
        <f>E89*$B$7</f>
        <v/>
      </c>
      <c r="D89" s="13">
        <f>F89*$B$8</f>
        <v/>
      </c>
      <c r="E89" s="13">
        <f>F88</f>
        <v/>
      </c>
      <c r="F89" s="13">
        <f>E89+B89+C89</f>
        <v/>
      </c>
      <c r="G89" s="13">
        <f>D89</f>
        <v/>
      </c>
      <c r="H89" s="13">
        <f>SUM($G$13:G89)</f>
        <v/>
      </c>
    </row>
    <row r="90">
      <c r="A90" s="12" t="n">
        <v>78</v>
      </c>
      <c r="B90" s="13">
        <f>IF(A90&lt;=$B$6,$B$5,0)</f>
        <v/>
      </c>
      <c r="C90" s="13">
        <f>E90*$B$7</f>
        <v/>
      </c>
      <c r="D90" s="13">
        <f>F90*$B$8</f>
        <v/>
      </c>
      <c r="E90" s="13">
        <f>F89</f>
        <v/>
      </c>
      <c r="F90" s="13">
        <f>E90+B90+C90</f>
        <v/>
      </c>
      <c r="G90" s="13">
        <f>D90</f>
        <v/>
      </c>
      <c r="H90" s="13">
        <f>SUM($G$13:G90)</f>
        <v/>
      </c>
    </row>
    <row r="91">
      <c r="A91" s="12" t="n">
        <v>79</v>
      </c>
      <c r="B91" s="13">
        <f>IF(A91&lt;=$B$6,$B$5,0)</f>
        <v/>
      </c>
      <c r="C91" s="13">
        <f>E91*$B$7</f>
        <v/>
      </c>
      <c r="D91" s="13">
        <f>F91*$B$8</f>
        <v/>
      </c>
      <c r="E91" s="13">
        <f>F90</f>
        <v/>
      </c>
      <c r="F91" s="13">
        <f>E91+B91+C91</f>
        <v/>
      </c>
      <c r="G91" s="13">
        <f>D91</f>
        <v/>
      </c>
      <c r="H91" s="13">
        <f>SUM($G$13:G91)</f>
        <v/>
      </c>
    </row>
    <row r="92">
      <c r="A92" s="12" t="n">
        <v>80</v>
      </c>
      <c r="B92" s="13">
        <f>IF(A92&lt;=$B$6,$B$5,0)</f>
        <v/>
      </c>
      <c r="C92" s="13">
        <f>E92*$B$7</f>
        <v/>
      </c>
      <c r="D92" s="13">
        <f>F92*$B$8</f>
        <v/>
      </c>
      <c r="E92" s="13">
        <f>F91</f>
        <v/>
      </c>
      <c r="F92" s="13">
        <f>E92+B92+C92</f>
        <v/>
      </c>
      <c r="G92" s="13">
        <f>D92</f>
        <v/>
      </c>
      <c r="H92" s="13">
        <f>SUM($G$13:G92)</f>
        <v/>
      </c>
    </row>
    <row r="93">
      <c r="A93" s="12" t="n">
        <v>81</v>
      </c>
      <c r="B93" s="13">
        <f>IF(A93&lt;=$B$6,$B$5,0)</f>
        <v/>
      </c>
      <c r="C93" s="13">
        <f>E93*$B$7</f>
        <v/>
      </c>
      <c r="D93" s="13">
        <f>F93*$B$8</f>
        <v/>
      </c>
      <c r="E93" s="13">
        <f>F92</f>
        <v/>
      </c>
      <c r="F93" s="13">
        <f>E93+B93+C93</f>
        <v/>
      </c>
      <c r="G93" s="13">
        <f>D93</f>
        <v/>
      </c>
      <c r="H93" s="13">
        <f>SUM($G$13:G93)</f>
        <v/>
      </c>
    </row>
    <row r="94">
      <c r="A94" s="12" t="n">
        <v>82</v>
      </c>
      <c r="B94" s="13">
        <f>IF(A94&lt;=$B$6,$B$5,0)</f>
        <v/>
      </c>
      <c r="C94" s="13">
        <f>E94*$B$7</f>
        <v/>
      </c>
      <c r="D94" s="13">
        <f>F94*$B$8</f>
        <v/>
      </c>
      <c r="E94" s="13">
        <f>F93</f>
        <v/>
      </c>
      <c r="F94" s="13">
        <f>E94+B94+C94</f>
        <v/>
      </c>
      <c r="G94" s="13">
        <f>D94</f>
        <v/>
      </c>
      <c r="H94" s="13">
        <f>SUM($G$13:G94)</f>
        <v/>
      </c>
    </row>
    <row r="95">
      <c r="A95" s="12" t="n">
        <v>83</v>
      </c>
      <c r="B95" s="13">
        <f>IF(A95&lt;=$B$6,$B$5,0)</f>
        <v/>
      </c>
      <c r="C95" s="13">
        <f>E95*$B$7</f>
        <v/>
      </c>
      <c r="D95" s="13">
        <f>F95*$B$8</f>
        <v/>
      </c>
      <c r="E95" s="13">
        <f>F94</f>
        <v/>
      </c>
      <c r="F95" s="13">
        <f>E95+B95+C95</f>
        <v/>
      </c>
      <c r="G95" s="13">
        <f>D95</f>
        <v/>
      </c>
      <c r="H95" s="13">
        <f>SUM($G$13:G95)</f>
        <v/>
      </c>
    </row>
    <row r="96">
      <c r="A96" s="12" t="n">
        <v>84</v>
      </c>
      <c r="B96" s="13">
        <f>IF(A96&lt;=$B$6,$B$5,0)</f>
        <v/>
      </c>
      <c r="C96" s="13">
        <f>E96*$B$7</f>
        <v/>
      </c>
      <c r="D96" s="13">
        <f>F96*$B$8</f>
        <v/>
      </c>
      <c r="E96" s="13">
        <f>F95</f>
        <v/>
      </c>
      <c r="F96" s="13">
        <f>E96+B96+C96</f>
        <v/>
      </c>
      <c r="G96" s="13">
        <f>D96</f>
        <v/>
      </c>
      <c r="H96" s="13">
        <f>SUM($G$13:G96)</f>
        <v/>
      </c>
    </row>
    <row r="97">
      <c r="A97" s="12" t="n">
        <v>85</v>
      </c>
      <c r="B97" s="13">
        <f>IF(A97&lt;=$B$6,$B$5,0)</f>
        <v/>
      </c>
      <c r="C97" s="13">
        <f>E97*$B$7</f>
        <v/>
      </c>
      <c r="D97" s="13">
        <f>F97*$B$8</f>
        <v/>
      </c>
      <c r="E97" s="13">
        <f>F96</f>
        <v/>
      </c>
      <c r="F97" s="13">
        <f>E97+B97+C97</f>
        <v/>
      </c>
      <c r="G97" s="13">
        <f>D97</f>
        <v/>
      </c>
      <c r="H97" s="13">
        <f>SUM($G$13:G97)</f>
        <v/>
      </c>
    </row>
    <row r="98">
      <c r="A98" s="12" t="n">
        <v>86</v>
      </c>
      <c r="B98" s="13">
        <f>IF(A98&lt;=$B$6,$B$5,0)</f>
        <v/>
      </c>
      <c r="C98" s="13">
        <f>E98*$B$7</f>
        <v/>
      </c>
      <c r="D98" s="13">
        <f>F98*$B$8</f>
        <v/>
      </c>
      <c r="E98" s="13">
        <f>F97</f>
        <v/>
      </c>
      <c r="F98" s="13">
        <f>E98+B98+C98</f>
        <v/>
      </c>
      <c r="G98" s="13">
        <f>D98</f>
        <v/>
      </c>
      <c r="H98" s="13">
        <f>SUM($G$13:G98)</f>
        <v/>
      </c>
    </row>
    <row r="99">
      <c r="A99" s="12" t="n">
        <v>87</v>
      </c>
      <c r="B99" s="13">
        <f>IF(A99&lt;=$B$6,$B$5,0)</f>
        <v/>
      </c>
      <c r="C99" s="13">
        <f>E99*$B$7</f>
        <v/>
      </c>
      <c r="D99" s="13">
        <f>F99*$B$8</f>
        <v/>
      </c>
      <c r="E99" s="13">
        <f>F98</f>
        <v/>
      </c>
      <c r="F99" s="13">
        <f>E99+B99+C99</f>
        <v/>
      </c>
      <c r="G99" s="13">
        <f>D99</f>
        <v/>
      </c>
      <c r="H99" s="13">
        <f>SUM($G$13:G99)</f>
        <v/>
      </c>
    </row>
    <row r="100">
      <c r="A100" s="12" t="n">
        <v>88</v>
      </c>
      <c r="B100" s="13">
        <f>IF(A100&lt;=$B$6,$B$5,0)</f>
        <v/>
      </c>
      <c r="C100" s="13">
        <f>E100*$B$7</f>
        <v/>
      </c>
      <c r="D100" s="13">
        <f>F100*$B$8</f>
        <v/>
      </c>
      <c r="E100" s="13">
        <f>F99</f>
        <v/>
      </c>
      <c r="F100" s="13">
        <f>E100+B100+C100</f>
        <v/>
      </c>
      <c r="G100" s="13">
        <f>D100</f>
        <v/>
      </c>
      <c r="H100" s="13">
        <f>SUM($G$13:G100)</f>
        <v/>
      </c>
    </row>
    <row r="101">
      <c r="A101" s="12" t="n">
        <v>89</v>
      </c>
      <c r="B101" s="13">
        <f>IF(A101&lt;=$B$6,$B$5,0)</f>
        <v/>
      </c>
      <c r="C101" s="13">
        <f>E101*$B$7</f>
        <v/>
      </c>
      <c r="D101" s="13">
        <f>F101*$B$8</f>
        <v/>
      </c>
      <c r="E101" s="13">
        <f>F100</f>
        <v/>
      </c>
      <c r="F101" s="13">
        <f>E101+B101+C101</f>
        <v/>
      </c>
      <c r="G101" s="13">
        <f>D101</f>
        <v/>
      </c>
      <c r="H101" s="13">
        <f>SUM($G$13:G101)</f>
        <v/>
      </c>
    </row>
    <row r="102">
      <c r="A102" s="12" t="n">
        <v>90</v>
      </c>
      <c r="B102" s="13">
        <f>IF(A102&lt;=$B$6,$B$5,0)</f>
        <v/>
      </c>
      <c r="C102" s="13">
        <f>E102*$B$7</f>
        <v/>
      </c>
      <c r="D102" s="13">
        <f>F102*$B$8</f>
        <v/>
      </c>
      <c r="E102" s="13">
        <f>F101</f>
        <v/>
      </c>
      <c r="F102" s="13">
        <f>E102+B102+C102</f>
        <v/>
      </c>
      <c r="G102" s="13">
        <f>D102</f>
        <v/>
      </c>
      <c r="H102" s="13">
        <f>SUM($G$13:G102)</f>
        <v/>
      </c>
    </row>
    <row r="103">
      <c r="A103" s="12" t="n">
        <v>91</v>
      </c>
      <c r="B103" s="13">
        <f>IF(A103&lt;=$B$6,$B$5,0)</f>
        <v/>
      </c>
      <c r="C103" s="13">
        <f>E103*$B$7</f>
        <v/>
      </c>
      <c r="D103" s="13">
        <f>F103*$B$8</f>
        <v/>
      </c>
      <c r="E103" s="13">
        <f>F102</f>
        <v/>
      </c>
      <c r="F103" s="13">
        <f>E103+B103+C103</f>
        <v/>
      </c>
      <c r="G103" s="13">
        <f>D103</f>
        <v/>
      </c>
      <c r="H103" s="13">
        <f>SUM($G$13:G103)</f>
        <v/>
      </c>
    </row>
    <row r="104">
      <c r="A104" s="12" t="n">
        <v>92</v>
      </c>
      <c r="B104" s="13">
        <f>IF(A104&lt;=$B$6,$B$5,0)</f>
        <v/>
      </c>
      <c r="C104" s="13">
        <f>E104*$B$7</f>
        <v/>
      </c>
      <c r="D104" s="13">
        <f>F104*$B$8</f>
        <v/>
      </c>
      <c r="E104" s="13">
        <f>F103</f>
        <v/>
      </c>
      <c r="F104" s="13">
        <f>E104+B104+C104</f>
        <v/>
      </c>
      <c r="G104" s="13">
        <f>D104</f>
        <v/>
      </c>
      <c r="H104" s="13">
        <f>SUM($G$13:G104)</f>
        <v/>
      </c>
    </row>
    <row r="105">
      <c r="A105" s="12" t="n">
        <v>93</v>
      </c>
      <c r="B105" s="13">
        <f>IF(A105&lt;=$B$6,$B$5,0)</f>
        <v/>
      </c>
      <c r="C105" s="13">
        <f>E105*$B$7</f>
        <v/>
      </c>
      <c r="D105" s="13">
        <f>F105*$B$8</f>
        <v/>
      </c>
      <c r="E105" s="13">
        <f>F104</f>
        <v/>
      </c>
      <c r="F105" s="13">
        <f>E105+B105+C105</f>
        <v/>
      </c>
      <c r="G105" s="13">
        <f>D105</f>
        <v/>
      </c>
      <c r="H105" s="13">
        <f>SUM($G$13:G105)</f>
        <v/>
      </c>
    </row>
    <row r="106">
      <c r="A106" s="12" t="n">
        <v>94</v>
      </c>
      <c r="B106" s="13">
        <f>IF(A106&lt;=$B$6,$B$5,0)</f>
        <v/>
      </c>
      <c r="C106" s="13">
        <f>E106*$B$7</f>
        <v/>
      </c>
      <c r="D106" s="13">
        <f>F106*$B$8</f>
        <v/>
      </c>
      <c r="E106" s="13">
        <f>F105</f>
        <v/>
      </c>
      <c r="F106" s="13">
        <f>E106+B106+C106</f>
        <v/>
      </c>
      <c r="G106" s="13">
        <f>D106</f>
        <v/>
      </c>
      <c r="H106" s="13">
        <f>SUM($G$13:G106)</f>
        <v/>
      </c>
    </row>
    <row r="107">
      <c r="A107" s="12" t="n">
        <v>95</v>
      </c>
      <c r="B107" s="13">
        <f>IF(A107&lt;=$B$6,$B$5,0)</f>
        <v/>
      </c>
      <c r="C107" s="13">
        <f>E107*$B$7</f>
        <v/>
      </c>
      <c r="D107" s="13">
        <f>F107*$B$8</f>
        <v/>
      </c>
      <c r="E107" s="13">
        <f>F106</f>
        <v/>
      </c>
      <c r="F107" s="13">
        <f>E107+B107+C107</f>
        <v/>
      </c>
      <c r="G107" s="13">
        <f>D107</f>
        <v/>
      </c>
      <c r="H107" s="13">
        <f>SUM($G$13:G107)</f>
        <v/>
      </c>
    </row>
    <row r="108">
      <c r="A108" s="12" t="n">
        <v>96</v>
      </c>
      <c r="B108" s="13">
        <f>IF(A108&lt;=$B$6,$B$5,0)</f>
        <v/>
      </c>
      <c r="C108" s="13">
        <f>E108*$B$7</f>
        <v/>
      </c>
      <c r="D108" s="13">
        <f>F108*$B$8</f>
        <v/>
      </c>
      <c r="E108" s="13">
        <f>F107</f>
        <v/>
      </c>
      <c r="F108" s="13">
        <f>E108+B108+C108</f>
        <v/>
      </c>
      <c r="G108" s="13">
        <f>D108</f>
        <v/>
      </c>
      <c r="H108" s="13">
        <f>SUM($G$13:G108)</f>
        <v/>
      </c>
    </row>
    <row r="109">
      <c r="A109" s="12" t="n">
        <v>97</v>
      </c>
      <c r="B109" s="13">
        <f>IF(A109&lt;=$B$6,$B$5,0)</f>
        <v/>
      </c>
      <c r="C109" s="13">
        <f>E109*$B$7</f>
        <v/>
      </c>
      <c r="D109" s="13">
        <f>F109*$B$8</f>
        <v/>
      </c>
      <c r="E109" s="13">
        <f>F108</f>
        <v/>
      </c>
      <c r="F109" s="13">
        <f>E109+B109+C109</f>
        <v/>
      </c>
      <c r="G109" s="13">
        <f>D109</f>
        <v/>
      </c>
      <c r="H109" s="13">
        <f>SUM($G$13:G109)</f>
        <v/>
      </c>
    </row>
    <row r="110">
      <c r="A110" s="12" t="n">
        <v>98</v>
      </c>
      <c r="B110" s="13">
        <f>IF(A110&lt;=$B$6,$B$5,0)</f>
        <v/>
      </c>
      <c r="C110" s="13">
        <f>E110*$B$7</f>
        <v/>
      </c>
      <c r="D110" s="13">
        <f>F110*$B$8</f>
        <v/>
      </c>
      <c r="E110" s="13">
        <f>F109</f>
        <v/>
      </c>
      <c r="F110" s="13">
        <f>E110+B110+C110</f>
        <v/>
      </c>
      <c r="G110" s="13">
        <f>D110</f>
        <v/>
      </c>
      <c r="H110" s="13">
        <f>SUM($G$13:G110)</f>
        <v/>
      </c>
    </row>
    <row r="111">
      <c r="A111" s="12" t="n">
        <v>99</v>
      </c>
      <c r="B111" s="13">
        <f>IF(A111&lt;=$B$6,$B$5,0)</f>
        <v/>
      </c>
      <c r="C111" s="13">
        <f>E111*$B$7</f>
        <v/>
      </c>
      <c r="D111" s="13">
        <f>F111*$B$8</f>
        <v/>
      </c>
      <c r="E111" s="13">
        <f>F110</f>
        <v/>
      </c>
      <c r="F111" s="13">
        <f>E111+B111+C111</f>
        <v/>
      </c>
      <c r="G111" s="13">
        <f>D111</f>
        <v/>
      </c>
      <c r="H111" s="13">
        <f>SUM($G$13:G111)</f>
        <v/>
      </c>
    </row>
    <row r="112">
      <c r="A112" s="12" t="n">
        <v>100</v>
      </c>
      <c r="B112" s="13">
        <f>IF(A112&lt;=$B$6,$B$5,0)</f>
        <v/>
      </c>
      <c r="C112" s="13">
        <f>E112*$B$7</f>
        <v/>
      </c>
      <c r="D112" s="13">
        <f>F112*$B$8</f>
        <v/>
      </c>
      <c r="E112" s="13">
        <f>F111</f>
        <v/>
      </c>
      <c r="F112" s="13">
        <f>E112+B112+C112</f>
        <v/>
      </c>
      <c r="G112" s="13">
        <f>D112</f>
        <v/>
      </c>
      <c r="H112" s="13">
        <f>SUM($G$13:G112)</f>
        <v/>
      </c>
    </row>
    <row r="113">
      <c r="A113" s="12" t="n">
        <v>101</v>
      </c>
      <c r="B113" s="13">
        <f>IF(A113&lt;=$B$6,$B$5,0)</f>
        <v/>
      </c>
      <c r="C113" s="13">
        <f>E113*$B$7</f>
        <v/>
      </c>
      <c r="D113" s="13">
        <f>F113*$B$8</f>
        <v/>
      </c>
      <c r="E113" s="13">
        <f>F112</f>
        <v/>
      </c>
      <c r="F113" s="13">
        <f>E113+B113+C113</f>
        <v/>
      </c>
      <c r="G113" s="13">
        <f>D113</f>
        <v/>
      </c>
      <c r="H113" s="13">
        <f>SUM($G$13:G113)</f>
        <v/>
      </c>
    </row>
    <row r="114">
      <c r="A114" s="12" t="n">
        <v>102</v>
      </c>
      <c r="B114" s="13">
        <f>IF(A114&lt;=$B$6,$B$5,0)</f>
        <v/>
      </c>
      <c r="C114" s="13">
        <f>E114*$B$7</f>
        <v/>
      </c>
      <c r="D114" s="13">
        <f>F114*$B$8</f>
        <v/>
      </c>
      <c r="E114" s="13">
        <f>F113</f>
        <v/>
      </c>
      <c r="F114" s="13">
        <f>E114+B114+C114</f>
        <v/>
      </c>
      <c r="G114" s="13">
        <f>D114</f>
        <v/>
      </c>
      <c r="H114" s="13">
        <f>SUM($G$13:G114)</f>
        <v/>
      </c>
    </row>
    <row r="115">
      <c r="A115" s="12" t="n">
        <v>103</v>
      </c>
      <c r="B115" s="13">
        <f>IF(A115&lt;=$B$6,$B$5,0)</f>
        <v/>
      </c>
      <c r="C115" s="13">
        <f>E115*$B$7</f>
        <v/>
      </c>
      <c r="D115" s="13">
        <f>F115*$B$8</f>
        <v/>
      </c>
      <c r="E115" s="13">
        <f>F114</f>
        <v/>
      </c>
      <c r="F115" s="13">
        <f>E115+B115+C115</f>
        <v/>
      </c>
      <c r="G115" s="13">
        <f>D115</f>
        <v/>
      </c>
      <c r="H115" s="13">
        <f>SUM($G$13:G115)</f>
        <v/>
      </c>
    </row>
    <row r="116">
      <c r="A116" s="12" t="n">
        <v>104</v>
      </c>
      <c r="B116" s="13">
        <f>IF(A116&lt;=$B$6,$B$5,0)</f>
        <v/>
      </c>
      <c r="C116" s="13">
        <f>E116*$B$7</f>
        <v/>
      </c>
      <c r="D116" s="13">
        <f>F116*$B$8</f>
        <v/>
      </c>
      <c r="E116" s="13">
        <f>F115</f>
        <v/>
      </c>
      <c r="F116" s="13">
        <f>E116+B116+C116</f>
        <v/>
      </c>
      <c r="G116" s="13">
        <f>D116</f>
        <v/>
      </c>
      <c r="H116" s="13">
        <f>SUM($G$13:G116)</f>
        <v/>
      </c>
    </row>
    <row r="117">
      <c r="A117" s="12" t="n">
        <v>105</v>
      </c>
      <c r="B117" s="13">
        <f>IF(A117&lt;=$B$6,$B$5,0)</f>
        <v/>
      </c>
      <c r="C117" s="13">
        <f>E117*$B$7</f>
        <v/>
      </c>
      <c r="D117" s="13">
        <f>F117*$B$8</f>
        <v/>
      </c>
      <c r="E117" s="13">
        <f>F116</f>
        <v/>
      </c>
      <c r="F117" s="13">
        <f>E117+B117+C117</f>
        <v/>
      </c>
      <c r="G117" s="13">
        <f>D117</f>
        <v/>
      </c>
      <c r="H117" s="13">
        <f>SUM($G$13:G117)</f>
        <v/>
      </c>
    </row>
    <row r="118">
      <c r="A118" s="12" t="n">
        <v>106</v>
      </c>
      <c r="B118" s="13">
        <f>IF(A118&lt;=$B$6,$B$5,0)</f>
        <v/>
      </c>
      <c r="C118" s="13">
        <f>E118*$B$7</f>
        <v/>
      </c>
      <c r="D118" s="13">
        <f>F118*$B$8</f>
        <v/>
      </c>
      <c r="E118" s="13">
        <f>F117</f>
        <v/>
      </c>
      <c r="F118" s="13">
        <f>E118+B118+C118</f>
        <v/>
      </c>
      <c r="G118" s="13">
        <f>D118</f>
        <v/>
      </c>
      <c r="H118" s="13">
        <f>SUM($G$13:G118)</f>
        <v/>
      </c>
    </row>
    <row r="119">
      <c r="A119" s="12" t="n">
        <v>107</v>
      </c>
      <c r="B119" s="13">
        <f>IF(A119&lt;=$B$6,$B$5,0)</f>
        <v/>
      </c>
      <c r="C119" s="13">
        <f>E119*$B$7</f>
        <v/>
      </c>
      <c r="D119" s="13">
        <f>F119*$B$8</f>
        <v/>
      </c>
      <c r="E119" s="13">
        <f>F118</f>
        <v/>
      </c>
      <c r="F119" s="13">
        <f>E119+B119+C119</f>
        <v/>
      </c>
      <c r="G119" s="13">
        <f>D119</f>
        <v/>
      </c>
      <c r="H119" s="13">
        <f>SUM($G$13:G119)</f>
        <v/>
      </c>
    </row>
    <row r="120">
      <c r="A120" s="12" t="n">
        <v>108</v>
      </c>
      <c r="B120" s="13">
        <f>IF(A120&lt;=$B$6,$B$5,0)</f>
        <v/>
      </c>
      <c r="C120" s="13">
        <f>E120*$B$7</f>
        <v/>
      </c>
      <c r="D120" s="13">
        <f>F120*$B$8</f>
        <v/>
      </c>
      <c r="E120" s="13">
        <f>F119</f>
        <v/>
      </c>
      <c r="F120" s="13">
        <f>E120+B120+C120</f>
        <v/>
      </c>
      <c r="G120" s="13">
        <f>D120</f>
        <v/>
      </c>
      <c r="H120" s="13">
        <f>SUM($G$13:G120)</f>
        <v/>
      </c>
    </row>
    <row r="121">
      <c r="A121" s="12" t="n">
        <v>109</v>
      </c>
      <c r="B121" s="13">
        <f>IF(A121&lt;=$B$6,$B$5,0)</f>
        <v/>
      </c>
      <c r="C121" s="13">
        <f>E121*$B$7</f>
        <v/>
      </c>
      <c r="D121" s="13">
        <f>F121*$B$8</f>
        <v/>
      </c>
      <c r="E121" s="13">
        <f>F120</f>
        <v/>
      </c>
      <c r="F121" s="13">
        <f>E121+B121+C121</f>
        <v/>
      </c>
      <c r="G121" s="13">
        <f>D121</f>
        <v/>
      </c>
      <c r="H121" s="13">
        <f>SUM($G$13:G121)</f>
        <v/>
      </c>
    </row>
    <row r="122">
      <c r="A122" s="12" t="n">
        <v>110</v>
      </c>
      <c r="B122" s="13">
        <f>IF(A122&lt;=$B$6,$B$5,0)</f>
        <v/>
      </c>
      <c r="C122" s="13">
        <f>E122*$B$7</f>
        <v/>
      </c>
      <c r="D122" s="13">
        <f>F122*$B$8</f>
        <v/>
      </c>
      <c r="E122" s="13">
        <f>F121</f>
        <v/>
      </c>
      <c r="F122" s="13">
        <f>E122+B122+C122</f>
        <v/>
      </c>
      <c r="G122" s="13">
        <f>D122</f>
        <v/>
      </c>
      <c r="H122" s="13">
        <f>SUM($G$13:G122)</f>
        <v/>
      </c>
    </row>
    <row r="123">
      <c r="A123" s="12" t="n">
        <v>111</v>
      </c>
      <c r="B123" s="13">
        <f>IF(A123&lt;=$B$6,$B$5,0)</f>
        <v/>
      </c>
      <c r="C123" s="13">
        <f>E123*$B$7</f>
        <v/>
      </c>
      <c r="D123" s="13">
        <f>F123*$B$8</f>
        <v/>
      </c>
      <c r="E123" s="13">
        <f>F122</f>
        <v/>
      </c>
      <c r="F123" s="13">
        <f>E123+B123+C123</f>
        <v/>
      </c>
      <c r="G123" s="13">
        <f>D123</f>
        <v/>
      </c>
      <c r="H123" s="13">
        <f>SUM($G$13:G123)</f>
        <v/>
      </c>
    </row>
    <row r="124">
      <c r="A124" s="12" t="n">
        <v>112</v>
      </c>
      <c r="B124" s="13">
        <f>IF(A124&lt;=$B$6,$B$5,0)</f>
        <v/>
      </c>
      <c r="C124" s="13">
        <f>E124*$B$7</f>
        <v/>
      </c>
      <c r="D124" s="13">
        <f>F124*$B$8</f>
        <v/>
      </c>
      <c r="E124" s="13">
        <f>F123</f>
        <v/>
      </c>
      <c r="F124" s="13">
        <f>E124+B124+C124</f>
        <v/>
      </c>
      <c r="G124" s="13">
        <f>D124</f>
        <v/>
      </c>
      <c r="H124" s="13">
        <f>SUM($G$13:G124)</f>
        <v/>
      </c>
    </row>
    <row r="125">
      <c r="A125" s="12" t="n">
        <v>113</v>
      </c>
      <c r="B125" s="13">
        <f>IF(A125&lt;=$B$6,$B$5,0)</f>
        <v/>
      </c>
      <c r="C125" s="13">
        <f>E125*$B$7</f>
        <v/>
      </c>
      <c r="D125" s="13">
        <f>F125*$B$8</f>
        <v/>
      </c>
      <c r="E125" s="13">
        <f>F124</f>
        <v/>
      </c>
      <c r="F125" s="13">
        <f>E125+B125+C125</f>
        <v/>
      </c>
      <c r="G125" s="13">
        <f>D125</f>
        <v/>
      </c>
      <c r="H125" s="13">
        <f>SUM($G$13:G125)</f>
        <v/>
      </c>
    </row>
    <row r="126">
      <c r="A126" s="12" t="n">
        <v>114</v>
      </c>
      <c r="B126" s="13">
        <f>IF(A126&lt;=$B$6,$B$5,0)</f>
        <v/>
      </c>
      <c r="C126" s="13">
        <f>E126*$B$7</f>
        <v/>
      </c>
      <c r="D126" s="13">
        <f>F126*$B$8</f>
        <v/>
      </c>
      <c r="E126" s="13">
        <f>F125</f>
        <v/>
      </c>
      <c r="F126" s="13">
        <f>E126+B126+C126</f>
        <v/>
      </c>
      <c r="G126" s="13">
        <f>D126</f>
        <v/>
      </c>
      <c r="H126" s="13">
        <f>SUM($G$13:G126)</f>
        <v/>
      </c>
    </row>
    <row r="127">
      <c r="A127" s="12" t="n">
        <v>115</v>
      </c>
      <c r="B127" s="13">
        <f>IF(A127&lt;=$B$6,$B$5,0)</f>
        <v/>
      </c>
      <c r="C127" s="13">
        <f>E127*$B$7</f>
        <v/>
      </c>
      <c r="D127" s="13">
        <f>F127*$B$8</f>
        <v/>
      </c>
      <c r="E127" s="13">
        <f>F126</f>
        <v/>
      </c>
      <c r="F127" s="13">
        <f>E127+B127+C127</f>
        <v/>
      </c>
      <c r="G127" s="13">
        <f>D127</f>
        <v/>
      </c>
      <c r="H127" s="13">
        <f>SUM($G$13:G127)</f>
        <v/>
      </c>
    </row>
    <row r="128">
      <c r="A128" s="12" t="n">
        <v>116</v>
      </c>
      <c r="B128" s="13">
        <f>IF(A128&lt;=$B$6,$B$5,0)</f>
        <v/>
      </c>
      <c r="C128" s="13">
        <f>E128*$B$7</f>
        <v/>
      </c>
      <c r="D128" s="13">
        <f>F128*$B$8</f>
        <v/>
      </c>
      <c r="E128" s="13">
        <f>F127</f>
        <v/>
      </c>
      <c r="F128" s="13">
        <f>E128+B128+C128</f>
        <v/>
      </c>
      <c r="G128" s="13">
        <f>D128</f>
        <v/>
      </c>
      <c r="H128" s="13">
        <f>SUM($G$13:G128)</f>
        <v/>
      </c>
    </row>
    <row r="129">
      <c r="A129" s="12" t="n">
        <v>117</v>
      </c>
      <c r="B129" s="13">
        <f>IF(A129&lt;=$B$6,$B$5,0)</f>
        <v/>
      </c>
      <c r="C129" s="13">
        <f>E129*$B$7</f>
        <v/>
      </c>
      <c r="D129" s="13">
        <f>F129*$B$8</f>
        <v/>
      </c>
      <c r="E129" s="13">
        <f>F128</f>
        <v/>
      </c>
      <c r="F129" s="13">
        <f>E129+B129+C129</f>
        <v/>
      </c>
      <c r="G129" s="13">
        <f>D129</f>
        <v/>
      </c>
      <c r="H129" s="13">
        <f>SUM($G$13:G129)</f>
        <v/>
      </c>
    </row>
    <row r="130">
      <c r="A130" s="12" t="n">
        <v>118</v>
      </c>
      <c r="B130" s="13">
        <f>IF(A130&lt;=$B$6,$B$5,0)</f>
        <v/>
      </c>
      <c r="C130" s="13">
        <f>E130*$B$7</f>
        <v/>
      </c>
      <c r="D130" s="13">
        <f>F130*$B$8</f>
        <v/>
      </c>
      <c r="E130" s="13">
        <f>F129</f>
        <v/>
      </c>
      <c r="F130" s="13">
        <f>E130+B130+C130</f>
        <v/>
      </c>
      <c r="G130" s="13">
        <f>D130</f>
        <v/>
      </c>
      <c r="H130" s="13">
        <f>SUM($G$13:G130)</f>
        <v/>
      </c>
    </row>
    <row r="131">
      <c r="A131" s="12" t="n">
        <v>119</v>
      </c>
      <c r="B131" s="13">
        <f>IF(A131&lt;=$B$6,$B$5,0)</f>
        <v/>
      </c>
      <c r="C131" s="13">
        <f>E131*$B$7</f>
        <v/>
      </c>
      <c r="D131" s="13">
        <f>F131*$B$8</f>
        <v/>
      </c>
      <c r="E131" s="13">
        <f>F130</f>
        <v/>
      </c>
      <c r="F131" s="13">
        <f>E131+B131+C131</f>
        <v/>
      </c>
      <c r="G131" s="13">
        <f>D131</f>
        <v/>
      </c>
      <c r="H131" s="13">
        <f>SUM($G$13:G131)</f>
        <v/>
      </c>
    </row>
    <row r="132">
      <c r="A132" s="12" t="n">
        <v>120</v>
      </c>
      <c r="B132" s="13">
        <f>IF(A132&lt;=$B$6,$B$5,0)</f>
        <v/>
      </c>
      <c r="C132" s="13">
        <f>E132*$B$7</f>
        <v/>
      </c>
      <c r="D132" s="13">
        <f>F132*$B$8</f>
        <v/>
      </c>
      <c r="E132" s="13">
        <f>F131</f>
        <v/>
      </c>
      <c r="F132" s="13">
        <f>E132+B132+C132</f>
        <v/>
      </c>
      <c r="G132" s="13">
        <f>D132</f>
        <v/>
      </c>
      <c r="H132" s="13">
        <f>SUM($G$13:G132)</f>
        <v/>
      </c>
    </row>
  </sheetData>
  <autoFilter ref="A12:H132"/>
  <mergeCells count="1">
    <mergeCell ref="A1:H1"/>
  </mergeCells>
  <conditionalFormatting sqref="E4:E8">
    <cfRule type="cellIs" priority="1" operator="greaterThan" dxfId="0">
      <formula>0</formula>
    </cfRule>
  </conditionalFormatting>
  <dataValidations count="2">
    <dataValidation sqref="B6" showDropDown="0" showInputMessage="0" showErrorMessage="0" allowBlank="0" type="whole" operator="between">
      <formula1>1</formula1>
      <formula2>120</formula2>
    </dataValidation>
    <dataValidation sqref="B7 B8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14" t="inlineStr">
        <is>
          <t>COMO USAR O SIMULADOR</t>
        </is>
      </c>
    </row>
    <row r="3">
      <c r="A3" s="6" t="inlineStr">
        <is>
          <t>1</t>
        </is>
      </c>
      <c r="B3" s="15" t="inlineStr">
        <is>
          <t>Informe o investimento inicial.</t>
        </is>
      </c>
    </row>
    <row r="4">
      <c r="A4" s="6" t="inlineStr">
        <is>
          <t>2</t>
        </is>
      </c>
      <c r="B4" s="15" t="inlineStr">
        <is>
          <t>Informe quanto pretende aportar todos os meses.</t>
        </is>
      </c>
    </row>
    <row r="5">
      <c r="A5" s="6" t="inlineStr">
        <is>
          <t>3</t>
        </is>
      </c>
      <c r="B5" s="15" t="inlineStr">
        <is>
          <t>Informe o prazo da simulação em meses.</t>
        </is>
      </c>
    </row>
    <row r="6">
      <c r="A6" s="6" t="inlineStr">
        <is>
          <t>4</t>
        </is>
      </c>
      <c r="B6" s="15" t="inlineStr">
        <is>
          <t>Informe a rentabilidade mensal estimada do patrimônio.</t>
        </is>
      </c>
    </row>
    <row r="7">
      <c r="A7" s="6" t="inlineStr">
        <is>
          <t>5</t>
        </is>
      </c>
      <c r="B7" s="15" t="inlineStr">
        <is>
          <t>Informe o Dividend Yield mensal estimado.</t>
        </is>
      </c>
    </row>
    <row r="8">
      <c r="A8" s="6" t="inlineStr">
        <is>
          <t>6</t>
        </is>
      </c>
      <c r="B8" s="15" t="inlineStr">
        <is>
          <t>Consulte automaticamente o total investido, patrimônio acumulado e dividendos.</t>
        </is>
      </c>
    </row>
    <row r="9">
      <c r="A9" s="6" t="inlineStr">
        <is>
          <t>7</t>
        </is>
      </c>
      <c r="B9" s="15" t="inlineStr">
        <is>
          <t>Use os gráficos para visualizar a evolução do patrimônio e dos dividendos.</t>
        </is>
      </c>
    </row>
    <row r="12">
      <c r="A12" s="16" t="inlineStr">
        <is>
          <t>Observação</t>
        </is>
      </c>
      <c r="B12" s="15" t="inlineStr">
        <is>
          <t>Esta é uma ferramenta educacional. As taxas são hipóteses de simulação e não representam garantia de rentabilidade futura.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4" t="inlineStr">
        <is>
          <t>DOCUMENTAÇÃO DO PROJETO</t>
        </is>
      </c>
    </row>
    <row r="3">
      <c r="A3" s="6" t="inlineStr">
        <is>
          <t>Objetivo</t>
        </is>
      </c>
      <c r="B3" s="15" t="inlineStr">
        <is>
          <t>Criar uma ferramenta em Excel para simular a evolução de investimentos em Fundos Imobiliários.</t>
        </is>
      </c>
    </row>
    <row r="4">
      <c r="A4" s="6" t="inlineStr">
        <is>
          <t>Entradas</t>
        </is>
      </c>
      <c r="B4" s="15" t="inlineStr">
        <is>
          <t>Investimento inicial, aporte mensal, prazo, rentabilidade mensal e Dividend Yield mensal.</t>
        </is>
      </c>
    </row>
    <row r="5">
      <c r="A5" s="6" t="inlineStr">
        <is>
          <t>Resultados</t>
        </is>
      </c>
      <c r="B5" s="15" t="inlineStr">
        <is>
          <t>Total investido, patrimônio acumulado, dividendos mensais finais, dividendos acumulados e rendimento.</t>
        </is>
      </c>
    </row>
    <row r="6">
      <c r="A6" s="6" t="inlineStr">
        <is>
          <t>Recursos de Excel</t>
        </is>
      </c>
      <c r="B6" s="15" t="inlineStr">
        <is>
          <t>Fórmulas, validação de dados, formatação condicional, tabela de projeção e gráficos.</t>
        </is>
      </c>
    </row>
    <row r="7">
      <c r="A7" s="6" t="inlineStr">
        <is>
          <t>Uso</t>
        </is>
      </c>
      <c r="B7" s="15" t="inlineStr">
        <is>
          <t>Altere somente as células amarelas da aba Simulador para realizar novas simulações.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2026-09-07T20:23:05Z</dcterms:created>
  <dcterms:modified xmlns:dcterms="http://purl.org/dc/terms/" xmlns:xsi="http://www.w3.org/2001/XMLSchema-instance" xsi:type="dcterms:W3CDTF">2026-09-07T20:23:05Z</dcterms:modified>
</cp:coreProperties>
</file>